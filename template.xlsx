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 04.02.2014" sheetId="1" state="visible" r:id="rId2"/>
  </sheets>
  <definedNames>
    <definedName function="false" hidden="false" localSheetId="0" name="_xlnm.Print_Area" vbProcedure="false">'с 04.02.2014'!$A$1:$S$77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<sst xmlns="http://schemas.openxmlformats.org/spreadsheetml/2006/main" count="96" uniqueCount="90">
  <si>
    <t xml:space="preserve">ЗАТВЕРДЖЕНО </t>
  </si>
  <si>
    <t xml:space="preserve">Наказ Міністерства доходів і зборів</t>
  </si>
  <si>
    <t xml:space="preserve"> України</t>
  </si>
  <si>
    <t xml:space="preserve">24.12.2013 № 845</t>
  </si>
  <si>
    <t xml:space="preserve">Звіт про використання коштів, виданих на відрядження або під звіт                           </t>
  </si>
  <si>
    <t xml:space="preserve">№</t>
  </si>
  <si>
    <t xml:space="preserve">BOY 200131</t>
  </si>
  <si>
    <t xml:space="preserve">від </t>
  </si>
  <si>
    <t xml:space="preserve">31 січня</t>
  </si>
  <si>
    <t xml:space="preserve">2020 року </t>
  </si>
  <si>
    <t xml:space="preserve">Найменування податкового</t>
  </si>
  <si>
    <r>
      <rPr>
        <sz val="10"/>
        <rFont val="Arial"/>
        <family val="2"/>
        <charset val="204"/>
      </rPr>
      <t xml:space="preserve"> агента: </t>
    </r>
    <r>
      <rPr>
        <b val="true"/>
        <sz val="10"/>
        <rFont val="Arial"/>
        <family val="2"/>
        <charset val="204"/>
      </rPr>
      <t xml:space="preserve">ДП "ГЕА Вестфалія Сепаратор Україна"</t>
    </r>
  </si>
  <si>
    <t xml:space="preserve">Звіт затверджено в сумі:</t>
  </si>
  <si>
    <t xml:space="preserve">Код  за ЄДРПОУ</t>
  </si>
  <si>
    <t xml:space="preserve">4</t>
  </si>
  <si>
    <t xml:space="preserve">9</t>
  </si>
  <si>
    <t xml:space="preserve">аванс.звіт</t>
  </si>
  <si>
    <t xml:space="preserve">Відділ: </t>
  </si>
  <si>
    <t xml:space="preserve">Посада: сервісний інженер</t>
  </si>
  <si>
    <t xml:space="preserve">Підпис:</t>
  </si>
  <si>
    <t xml:space="preserve">     (словами)</t>
  </si>
  <si>
    <t xml:space="preserve">Цех:</t>
  </si>
  <si>
    <t xml:space="preserve">Професія: </t>
  </si>
  <si>
    <t xml:space="preserve">Керівник</t>
  </si>
  <si>
    <t xml:space="preserve"> </t>
  </si>
  <si>
    <t xml:space="preserve">(підпис)</t>
  </si>
  <si>
    <t xml:space="preserve">BOZHKO IURII</t>
  </si>
  <si>
    <t xml:space="preserve">2020 року</t>
  </si>
  <si>
    <t xml:space="preserve">П.І.Б.</t>
  </si>
  <si>
    <t xml:space="preserve">Божко Юрій Володимирович</t>
  </si>
  <si>
    <t xml:space="preserve">Податковий номер (або серія і номер паспорта*)</t>
  </si>
  <si>
    <t xml:space="preserve">Звіт перевірено</t>
  </si>
  <si>
    <t xml:space="preserve">грн.</t>
  </si>
  <si>
    <t xml:space="preserve">Документів</t>
  </si>
  <si>
    <t xml:space="preserve">Призначення авансу:</t>
  </si>
  <si>
    <t xml:space="preserve">на відрядження </t>
  </si>
  <si>
    <t xml:space="preserve">Бухгалтер______________</t>
  </si>
  <si>
    <t xml:space="preserve">Сума(грн, коп.)</t>
  </si>
  <si>
    <t xml:space="preserve">ДЕБЕТ</t>
  </si>
  <si>
    <t xml:space="preserve">КРЕДИТ</t>
  </si>
  <si>
    <t xml:space="preserve">СУМА (грн, коп.)</t>
  </si>
  <si>
    <t xml:space="preserve">Залишок попереднього авансу</t>
  </si>
  <si>
    <t xml:space="preserve">Перевитрата</t>
  </si>
  <si>
    <t xml:space="preserve">Одержано </t>
  </si>
  <si>
    <t xml:space="preserve">(від кого, № та дата)</t>
  </si>
  <si>
    <t xml:space="preserve">1. </t>
  </si>
  <si>
    <t xml:space="preserve">2. </t>
  </si>
  <si>
    <t xml:space="preserve">РОЗПИСКА. Прийнятий на пере  вірку від </t>
  </si>
  <si>
    <t xml:space="preserve">3. </t>
  </si>
  <si>
    <t xml:space="preserve">На суму:</t>
  </si>
  <si>
    <t xml:space="preserve">4. </t>
  </si>
  <si>
    <t xml:space="preserve">5. </t>
  </si>
  <si>
    <t xml:space="preserve">6. </t>
  </si>
  <si>
    <t xml:space="preserve">7. </t>
  </si>
  <si>
    <t xml:space="preserve">Всього отримано</t>
  </si>
  <si>
    <t xml:space="preserve">Витрачено</t>
  </si>
  <si>
    <t xml:space="preserve">Залишок</t>
  </si>
  <si>
    <t xml:space="preserve">Додаток</t>
  </si>
  <si>
    <t xml:space="preserve">документів</t>
  </si>
  <si>
    <t xml:space="preserve">Залишок унесений</t>
  </si>
  <si>
    <t xml:space="preserve">у сумі</t>
  </si>
  <si>
    <t xml:space="preserve">за касовим ордером</t>
  </si>
  <si>
    <t xml:space="preserve"> №_____від________2020 року</t>
  </si>
  <si>
    <t xml:space="preserve">Перевитрата видана</t>
  </si>
  <si>
    <t xml:space="preserve">платіж. дорученням</t>
  </si>
  <si>
    <t xml:space="preserve">Підпис</t>
  </si>
  <si>
    <t xml:space="preserve">Перелік документів наведено на звороті.</t>
  </si>
  <si>
    <t xml:space="preserve">При неповерненні суми надміру витрачених коштів протягом звітного місяця, на який припадає граничний термін повернення:</t>
  </si>
  <si>
    <t xml:space="preserve">Сума податку = не повернута сума х ставка оподаткування </t>
  </si>
  <si>
    <t xml:space="preserve">(пункт 167.1 статті 167 Податкового кодексу України) : 100. </t>
  </si>
  <si>
    <t xml:space="preserve">Сума податку ____ (грн.) = не повернута сума ________ (грн.) х 15 : 100. </t>
  </si>
  <si>
    <t xml:space="preserve">Підпис особи, що склала розрахунок __________</t>
  </si>
  <si>
    <t xml:space="preserve">               Дата складання розрахунку _________ 2020  року </t>
  </si>
  <si>
    <t xml:space="preserve">Сума податку ____ (грн.) = не повернута сума ________ (грн.) х 17 : 100. </t>
  </si>
  <si>
    <r>
      <rPr>
        <b val="true"/>
        <sz val="8"/>
        <rFont val="Arial"/>
        <family val="2"/>
        <charset val="204"/>
      </rPr>
      <t xml:space="preserve">Підпис особи, що склала розрахунок______________________</t>
    </r>
    <r>
      <rPr>
        <sz val="8"/>
        <rFont val="Arial"/>
        <family val="2"/>
        <charset val="204"/>
      </rPr>
      <t xml:space="preserve"> </t>
    </r>
  </si>
  <si>
    <t xml:space="preserve">              Дата складання розрахунку __________2020  року </t>
  </si>
  <si>
    <t xml:space="preserve">З розрахунком ознайомлений:  підпис _________________________________________ Дата ______________ </t>
  </si>
  <si>
    <t xml:space="preserve">(прізвище, ім'я, по батькові) </t>
  </si>
  <si>
    <t xml:space="preserve">* Серія та номер паспорта для фізичних осіб, які через свої релігійні переконання відмовились </t>
  </si>
  <si>
    <t xml:space="preserve">від прийняття реєстраційного номера облікової картки платника податків та повідомили про це </t>
  </si>
  <si>
    <t xml:space="preserve">відповідний орган державної податкової служби і мають відмітку у паспорті</t>
  </si>
  <si>
    <t xml:space="preserve">Зворотний бік</t>
  </si>
  <si>
    <t xml:space="preserve">Пор.№ док.</t>
  </si>
  <si>
    <t xml:space="preserve">Дата  документа</t>
  </si>
  <si>
    <t xml:space="preserve">Кому, за що і на підставі якого документа заплачено</t>
  </si>
  <si>
    <t xml:space="preserve">Сума (грн, коп.)</t>
  </si>
  <si>
    <t xml:space="preserve">Дебет рахунку </t>
  </si>
  <si>
    <t xml:space="preserve">Всього:   </t>
  </si>
  <si>
    <t xml:space="preserve">Підпис підзвітної особи   _______________________</t>
  </si>
  <si>
    <t xml:space="preserve">  2020 року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</si>
</sst>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DD/MM/YYYY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b val="true"/>
      <sz val="12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2"/>
      <name val="Arial"/>
      <family val="2"/>
      <charset val="204"/>
    </font>
    <font>
      <b val="true"/>
      <sz val="10"/>
      <name val="Arial"/>
      <family val="2"/>
      <charset val="204"/>
    </font>
    <font>
      <b val="true"/>
      <sz val="11"/>
      <name val="Arial"/>
      <family val="2"/>
      <charset val="204"/>
    </font>
    <font>
      <b val="true"/>
      <u val="single"/>
      <sz val="10"/>
      <name val="Arial"/>
      <family val="2"/>
      <charset val="204"/>
    </font>
    <font>
      <b val="true"/>
      <u val="single"/>
      <sz val="9"/>
      <name val="Arial"/>
      <family val="2"/>
      <charset val="204"/>
    </font>
    <font>
      <sz val="9"/>
      <name val="Arial"/>
      <family val="2"/>
      <charset val="204"/>
    </font>
    <font>
      <sz val="9"/>
      <name val="Arial Cyr"/>
      <family val="0"/>
      <charset val="204"/>
    </font>
    <font>
      <b val="true"/>
      <i val="true"/>
      <sz val="11"/>
      <name val="Arial"/>
      <family val="2"/>
      <charset val="204"/>
    </font>
    <font>
      <b val="true"/>
      <sz val="8"/>
      <name val="Arial"/>
      <family val="2"/>
      <charset val="204"/>
    </font>
    <font>
      <sz val="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2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3" fillId="0" borderId="4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3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2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5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8" xfId="2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20" applyFont="fals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8" xfId="2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6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20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64" fontId="6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20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3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5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77"/>
  <sheetViews>
    <sheetView showFormulas="false" showGridLines="true" showRowColHeaders="true" showZeros="true" rightToLeft="false" tabSelected="true" showOutlineSymbols="true" defaultGridColor="true" view="pageBreakPreview" topLeftCell="A34" colorId="64" zoomScale="100" zoomScaleNormal="100" zoomScalePageLayoutView="100" workbookViewId="0">
      <selection pane="topLeft" activeCell="X63" activeCellId="0" sqref="X63"/>
    </sheetView>
  </sheetViews>
  <sheetFormatPr defaultRowHeight="12.75" zeroHeight="false" outlineLevelRow="0" outlineLevelCol="0"/>
  <cols>
    <col collapsed="false" customWidth="true" hidden="false" outlineLevel="0" max="1" min="1" style="1" width="5.13"/>
    <col collapsed="false" customWidth="true" hidden="false" outlineLevel="0" max="2" min="2" style="1" width="3.13"/>
    <col collapsed="false" customWidth="true" hidden="false" outlineLevel="0" max="3" min="3" style="1" width="4.42"/>
    <col collapsed="false" customWidth="true" hidden="false" outlineLevel="0" max="4" min="4" style="1" width="5.85"/>
    <col collapsed="false" customWidth="true" hidden="false" outlineLevel="0" max="5" min="5" style="1" width="4.85"/>
    <col collapsed="false" customWidth="true" hidden="false" outlineLevel="0" max="6" min="6" style="1" width="4.29"/>
    <col collapsed="false" customWidth="true" hidden="false" outlineLevel="0" max="7" min="7" style="1" width="6.14"/>
    <col collapsed="false" customWidth="true" hidden="false" outlineLevel="0" max="8" min="8" style="1" width="5.01"/>
    <col collapsed="false" customWidth="true" hidden="false" outlineLevel="0" max="10" min="9" style="1" width="4.29"/>
    <col collapsed="false" customWidth="true" hidden="false" outlineLevel="0" max="11" min="11" style="1" width="2.41"/>
    <col collapsed="false" customWidth="true" hidden="false" outlineLevel="0" max="12" min="12" style="1" width="2.31"/>
    <col collapsed="false" customWidth="true" hidden="false" outlineLevel="0" max="13" min="13" style="1" width="12.7"/>
    <col collapsed="false" customWidth="true" hidden="false" outlineLevel="0" max="14" min="14" style="1" width="8.7"/>
    <col collapsed="false" customWidth="true" hidden="false" outlineLevel="0" max="15" min="15" style="1" width="10.98"/>
    <col collapsed="false" customWidth="true" hidden="false" outlineLevel="0" max="16" min="16" style="1" width="10.41"/>
    <col collapsed="false" customWidth="true" hidden="false" outlineLevel="0" max="17" min="17" style="1" width="2.84"/>
    <col collapsed="false" customWidth="true" hidden="false" outlineLevel="0" max="18" min="18" style="1" width="2.7"/>
    <col collapsed="false" customWidth="true" hidden="false" outlineLevel="0" max="19" min="19" style="1" width="3.3"/>
    <col collapsed="false" customWidth="true" hidden="false" outlineLevel="0" max="257" min="20" style="1" width="9.13"/>
    <col collapsed="false" customWidth="true" hidden="false" outlineLevel="0" max="1025" min="258" style="0" width="9.13"/>
  </cols>
  <sheetData>
    <row r="1" customFormat="false" ht="12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 t="s">
        <v>0</v>
      </c>
      <c r="O1" s="5"/>
      <c r="P1" s="5"/>
      <c r="Q1" s="5"/>
    </row>
    <row r="2" customFormat="false" ht="11.25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6" t="s">
        <v>1</v>
      </c>
      <c r="O2" s="5"/>
      <c r="P2" s="5"/>
      <c r="Q2" s="5"/>
    </row>
    <row r="3" customFormat="false" ht="11.2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6" t="s">
        <v>2</v>
      </c>
      <c r="O3" s="5"/>
      <c r="P3" s="5"/>
      <c r="Q3" s="5"/>
    </row>
    <row r="4" customFormat="false" ht="11.25" hidden="false" customHeight="true" outlineLevel="0" collapsed="false">
      <c r="A4" s="2"/>
      <c r="B4" s="3"/>
      <c r="C4" s="3"/>
      <c r="D4" s="7"/>
      <c r="E4" s="7"/>
      <c r="F4" s="7"/>
      <c r="G4" s="7"/>
      <c r="H4" s="7"/>
      <c r="I4" s="7"/>
      <c r="J4" s="7"/>
      <c r="K4" s="7"/>
      <c r="L4" s="7"/>
      <c r="M4" s="7"/>
      <c r="N4" s="4" t="s">
        <v>3</v>
      </c>
      <c r="O4" s="5"/>
      <c r="P4" s="5"/>
      <c r="Q4" s="5"/>
    </row>
    <row r="5" customFormat="false" ht="24" hidden="false" customHeight="true" outlineLevel="0" collapsed="false">
      <c r="A5" s="2"/>
      <c r="B5" s="8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3"/>
    </row>
    <row r="6" customFormat="false" ht="12" hidden="false" customHeight="true" outlineLevel="0" collapsed="false">
      <c r="A6" s="7"/>
      <c r="B6" s="7"/>
      <c r="C6" s="7"/>
      <c r="D6" s="7"/>
      <c r="E6" s="7"/>
      <c r="F6" s="7"/>
      <c r="H6" s="9"/>
      <c r="I6" s="9"/>
      <c r="J6" s="9"/>
      <c r="K6" s="10" t="s">
        <v>5</v>
      </c>
      <c r="L6" s="9"/>
      <c r="M6" s="11" t="s">
        <v>6</v>
      </c>
      <c r="N6" s="10" t="s">
        <v>7</v>
      </c>
      <c r="O6" s="12" t="s">
        <v>8</v>
      </c>
      <c r="P6" s="7" t="s">
        <v>9</v>
      </c>
      <c r="Q6" s="3"/>
    </row>
    <row r="7" customFormat="false" ht="13.5" hidden="false" customHeight="true" outlineLevel="0" collapsed="false">
      <c r="A7" s="13" t="s">
        <v>10</v>
      </c>
      <c r="B7" s="3"/>
      <c r="C7" s="3"/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14"/>
      <c r="P7" s="15"/>
      <c r="Q7" s="3"/>
      <c r="R7" s="16"/>
    </row>
    <row r="8" customFormat="false" ht="13.5" hidden="false" customHeight="true" outlineLevel="0" collapsed="false">
      <c r="A8" s="17" t="s">
        <v>11</v>
      </c>
      <c r="B8" s="17"/>
      <c r="C8" s="17"/>
      <c r="D8" s="17"/>
      <c r="E8" s="17"/>
      <c r="F8" s="17"/>
      <c r="G8" s="17"/>
      <c r="H8" s="17"/>
      <c r="I8" s="17"/>
      <c r="J8" s="17"/>
      <c r="K8" s="3"/>
      <c r="L8" s="3"/>
      <c r="M8" s="3"/>
      <c r="N8" s="3"/>
      <c r="O8" s="14"/>
      <c r="P8" s="15"/>
      <c r="Q8" s="3"/>
      <c r="R8" s="16"/>
    </row>
    <row r="9" customFormat="false" ht="10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 t="s">
        <v>12</v>
      </c>
      <c r="N9" s="13"/>
      <c r="O9" s="13"/>
      <c r="P9" s="20"/>
      <c r="Q9" s="3"/>
      <c r="R9" s="16"/>
    </row>
    <row r="10" customFormat="false" ht="12.75" hidden="false" customHeight="true" outlineLevel="0" collapsed="false">
      <c r="A10" s="21" t="s">
        <v>13</v>
      </c>
      <c r="B10" s="21"/>
      <c r="C10" s="21"/>
      <c r="D10" s="21"/>
      <c r="E10" s="21"/>
      <c r="F10" s="21"/>
      <c r="G10" s="3"/>
      <c r="H10" s="3"/>
      <c r="I10" s="3"/>
      <c r="J10" s="3"/>
      <c r="K10" s="14"/>
      <c r="L10" s="3"/>
      <c r="M10" s="22" t="e">
        <f aca="false">NA()</f>
        <v>#N/A</v>
      </c>
      <c r="N10" s="22"/>
      <c r="O10" s="22"/>
      <c r="P10" s="22"/>
      <c r="Q10" s="3"/>
      <c r="R10" s="16"/>
    </row>
    <row r="11" customFormat="false" ht="12.75" hidden="false" customHeight="false" outlineLevel="0" collapsed="false">
      <c r="A11" s="23" t="n">
        <v>2</v>
      </c>
      <c r="B11" s="24" t="s">
        <v>14</v>
      </c>
      <c r="C11" s="24" t="s">
        <v>15</v>
      </c>
      <c r="D11" s="23" t="n">
        <v>2</v>
      </c>
      <c r="E11" s="23" t="n">
        <v>1</v>
      </c>
      <c r="F11" s="23" t="n">
        <v>9</v>
      </c>
      <c r="G11" s="23" t="n">
        <v>7</v>
      </c>
      <c r="H11" s="23" t="n">
        <v>1</v>
      </c>
      <c r="I11" s="14"/>
      <c r="J11" s="14"/>
      <c r="K11" s="14"/>
      <c r="L11" s="14"/>
      <c r="M11" s="22"/>
      <c r="N11" s="22"/>
      <c r="O11" s="22"/>
      <c r="P11" s="22"/>
      <c r="Q11" s="25" t="s">
        <v>16</v>
      </c>
      <c r="R11" s="16"/>
    </row>
    <row r="12" customFormat="false" ht="12.75" hidden="false" customHeight="false" outlineLevel="0" collapsed="false">
      <c r="A12" s="26" t="s">
        <v>17</v>
      </c>
      <c r="B12" s="26"/>
      <c r="C12" s="13"/>
      <c r="D12" s="13"/>
      <c r="E12" s="13" t="s">
        <v>18</v>
      </c>
      <c r="F12" s="13"/>
      <c r="G12" s="13"/>
      <c r="H12" s="13"/>
      <c r="I12" s="13"/>
      <c r="J12" s="3"/>
      <c r="K12" s="3"/>
      <c r="L12" s="3"/>
      <c r="M12" s="27"/>
      <c r="N12" s="27"/>
      <c r="O12" s="27"/>
      <c r="P12" s="27"/>
      <c r="Q12" s="25"/>
      <c r="R12" s="28" t="s">
        <v>19</v>
      </c>
    </row>
    <row r="13" customFormat="false" ht="9" hidden="false" customHeight="true" outlineLevel="0" collapsed="false">
      <c r="A13" s="29"/>
      <c r="B13" s="29"/>
      <c r="C13" s="29"/>
      <c r="D13" s="29"/>
      <c r="E13" s="29"/>
      <c r="F13" s="29"/>
      <c r="G13" s="29"/>
      <c r="H13" s="29"/>
      <c r="I13" s="29"/>
      <c r="J13" s="14"/>
      <c r="K13" s="3"/>
      <c r="L13" s="3"/>
      <c r="M13" s="13"/>
      <c r="N13" s="30" t="s">
        <v>20</v>
      </c>
      <c r="O13" s="13"/>
      <c r="P13" s="20"/>
      <c r="Q13" s="25"/>
      <c r="R13" s="28"/>
    </row>
    <row r="14" customFormat="false" ht="12.75" hidden="false" customHeight="false" outlineLevel="0" collapsed="false">
      <c r="A14" s="13" t="s">
        <v>21</v>
      </c>
      <c r="B14" s="19"/>
      <c r="C14" s="19"/>
      <c r="D14" s="19"/>
      <c r="E14" s="13" t="s">
        <v>22</v>
      </c>
      <c r="F14" s="19"/>
      <c r="G14" s="19"/>
      <c r="H14" s="19"/>
      <c r="I14" s="19"/>
      <c r="J14" s="14"/>
      <c r="K14" s="14"/>
      <c r="L14" s="14"/>
      <c r="M14" s="19" t="s">
        <v>23</v>
      </c>
      <c r="N14" s="29"/>
      <c r="O14" s="29"/>
      <c r="P14" s="31"/>
      <c r="Q14" s="25"/>
      <c r="R14" s="28"/>
      <c r="U14" s="1" t="s">
        <v>24</v>
      </c>
    </row>
    <row r="15" customFormat="false" ht="9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3"/>
      <c r="O15" s="32" t="s">
        <v>25</v>
      </c>
      <c r="P15" s="19"/>
      <c r="Q15" s="25"/>
      <c r="R15" s="28"/>
    </row>
    <row r="16" customFormat="false" ht="12.75" hidden="false" customHeight="true" outlineLevel="0" collapsed="false">
      <c r="A16" s="3"/>
      <c r="B16" s="3"/>
      <c r="C16" s="3"/>
      <c r="D16" s="3"/>
      <c r="E16" s="3"/>
      <c r="F16" s="33" t="s">
        <v>26</v>
      </c>
      <c r="G16" s="33"/>
      <c r="H16" s="33"/>
      <c r="I16" s="33"/>
      <c r="J16" s="3"/>
      <c r="K16" s="3"/>
      <c r="L16" s="3"/>
      <c r="M16" s="34" t="str">
        <f aca="false">O6</f>
        <v>31 січня</v>
      </c>
      <c r="N16" s="35" t="s">
        <v>27</v>
      </c>
      <c r="O16" s="36"/>
      <c r="P16" s="37"/>
      <c r="Q16" s="38" t="str">
        <f aca="false">B17</f>
        <v>Божко Юрій Володимирович</v>
      </c>
    </row>
    <row r="17" customFormat="false" ht="15" hidden="false" customHeight="false" outlineLevel="0" collapsed="false">
      <c r="A17" s="3" t="s">
        <v>28</v>
      </c>
      <c r="B17" s="39" t="s">
        <v>29</v>
      </c>
      <c r="C17" s="39"/>
      <c r="D17" s="39"/>
      <c r="E17" s="39"/>
      <c r="F17" s="39"/>
      <c r="G17" s="39"/>
      <c r="H17" s="39"/>
      <c r="I17" s="39"/>
      <c r="J17" s="3"/>
      <c r="K17" s="3"/>
      <c r="L17" s="3"/>
      <c r="M17" s="13"/>
      <c r="N17" s="13"/>
      <c r="O17" s="13"/>
      <c r="P17" s="20"/>
      <c r="Q17" s="38"/>
      <c r="R17" s="40" t="n">
        <f aca="false">C41</f>
        <v>0</v>
      </c>
    </row>
    <row r="18" customFormat="false" ht="12.75" hidden="false" customHeight="true" outlineLevel="0" collapsed="false">
      <c r="A18" s="41" t="s">
        <v>30</v>
      </c>
      <c r="B18" s="41"/>
      <c r="C18" s="41"/>
      <c r="D18" s="41"/>
      <c r="E18" s="41"/>
      <c r="F18" s="41"/>
      <c r="G18" s="41"/>
      <c r="H18" s="41"/>
      <c r="I18" s="41"/>
      <c r="J18" s="41"/>
      <c r="K18" s="42"/>
      <c r="L18" s="42"/>
      <c r="M18" s="36" t="s">
        <v>31</v>
      </c>
      <c r="N18" s="36"/>
      <c r="O18" s="36"/>
      <c r="P18" s="37"/>
      <c r="Q18" s="38"/>
      <c r="R18" s="40"/>
      <c r="T18" s="43"/>
      <c r="U18" s="43"/>
    </row>
    <row r="19" customFormat="false" ht="12.8" hidden="false" customHeight="false" outlineLevel="0" collapsed="false">
      <c r="A19" s="44" t="n">
        <v>3</v>
      </c>
      <c r="B19" s="44" t="n">
        <v>0</v>
      </c>
      <c r="C19" s="44" t="n">
        <v>5</v>
      </c>
      <c r="D19" s="23" t="n">
        <v>2</v>
      </c>
      <c r="E19" s="23" t="n">
        <v>7</v>
      </c>
      <c r="F19" s="23" t="n">
        <v>1</v>
      </c>
      <c r="G19" s="23" t="n">
        <v>8</v>
      </c>
      <c r="H19" s="23" t="n">
        <v>3</v>
      </c>
      <c r="I19" s="23" t="n">
        <v>7</v>
      </c>
      <c r="J19" s="23" t="n">
        <v>8</v>
      </c>
      <c r="K19" s="45"/>
      <c r="L19" s="45"/>
      <c r="M19" s="46" t="n">
        <f aca="false">P74</f>
        <v>2086.5</v>
      </c>
      <c r="N19" s="13" t="s">
        <v>32</v>
      </c>
      <c r="O19" s="19"/>
      <c r="P19" s="20"/>
      <c r="Q19" s="38"/>
      <c r="R19" s="47" t="s">
        <v>33</v>
      </c>
      <c r="T19" s="43"/>
      <c r="U19" s="43"/>
    </row>
    <row r="20" customFormat="false" ht="12.75" hidden="false" customHeight="true" outlineLevel="0" collapsed="false">
      <c r="A20" s="42"/>
      <c r="B20" s="42"/>
      <c r="C20" s="42"/>
      <c r="D20" s="3"/>
      <c r="E20" s="3"/>
      <c r="F20" s="3"/>
      <c r="G20" s="3"/>
      <c r="H20" s="3"/>
      <c r="I20" s="3"/>
      <c r="J20" s="3"/>
      <c r="K20" s="3"/>
      <c r="L20" s="3"/>
      <c r="M20" s="34" t="str">
        <f aca="false">O6</f>
        <v>31 січня</v>
      </c>
      <c r="N20" s="35" t="s">
        <v>27</v>
      </c>
      <c r="O20" s="36"/>
      <c r="P20" s="37"/>
      <c r="Q20" s="38"/>
      <c r="R20" s="47"/>
      <c r="T20" s="43"/>
      <c r="U20" s="43"/>
    </row>
    <row r="21" customFormat="false" ht="12.8" hidden="false" customHeight="false" outlineLevel="0" collapsed="false">
      <c r="A21" s="42"/>
      <c r="B21" s="42"/>
      <c r="C21" s="42"/>
      <c r="D21" s="3"/>
      <c r="E21" s="3"/>
      <c r="F21" s="3"/>
      <c r="G21" s="3"/>
      <c r="H21" s="3"/>
      <c r="I21" s="3"/>
      <c r="J21" s="3"/>
      <c r="K21" s="3"/>
      <c r="L21" s="3"/>
      <c r="M21" s="35"/>
      <c r="N21" s="35"/>
      <c r="O21" s="36"/>
      <c r="P21" s="37"/>
      <c r="Q21" s="38"/>
      <c r="R21" s="47"/>
      <c r="T21" s="43"/>
      <c r="U21" s="43"/>
    </row>
    <row r="22" customFormat="false" ht="12.8" hidden="false" customHeight="false" outlineLevel="0" collapsed="false">
      <c r="A22" s="3" t="s">
        <v>34</v>
      </c>
      <c r="B22" s="3"/>
      <c r="C22" s="3"/>
      <c r="D22" s="14"/>
      <c r="E22" s="48" t="s">
        <v>35</v>
      </c>
      <c r="F22" s="48"/>
      <c r="G22" s="48"/>
      <c r="H22" s="48"/>
      <c r="I22" s="48"/>
      <c r="J22" s="45"/>
      <c r="K22" s="14"/>
      <c r="L22" s="14"/>
      <c r="M22" s="36" t="s">
        <v>36</v>
      </c>
      <c r="N22" s="13"/>
      <c r="O22" s="36"/>
      <c r="P22" s="37"/>
      <c r="Q22" s="38"/>
      <c r="R22" s="47"/>
      <c r="T22" s="43"/>
      <c r="U22" s="43"/>
    </row>
    <row r="23" customFormat="false" ht="12.8" hidden="false" customHeight="false" outlineLevel="0" collapsed="false">
      <c r="A23" s="49"/>
      <c r="B23" s="49"/>
      <c r="C23" s="49"/>
      <c r="D23" s="49"/>
      <c r="E23" s="49"/>
      <c r="F23" s="49"/>
      <c r="G23" s="49"/>
      <c r="H23" s="45"/>
      <c r="I23" s="45"/>
      <c r="J23" s="45"/>
      <c r="K23" s="14"/>
      <c r="L23" s="3"/>
      <c r="M23" s="3"/>
      <c r="N23" s="14"/>
      <c r="O23" s="14"/>
      <c r="P23" s="15"/>
      <c r="Q23" s="38"/>
      <c r="R23" s="47"/>
      <c r="T23" s="43"/>
      <c r="U23" s="4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45"/>
      <c r="H24" s="50" t="s">
        <v>37</v>
      </c>
      <c r="I24" s="50"/>
      <c r="J24" s="50"/>
      <c r="K24" s="14"/>
      <c r="L24" s="3"/>
      <c r="M24" s="50" t="s">
        <v>38</v>
      </c>
      <c r="N24" s="51" t="s">
        <v>39</v>
      </c>
      <c r="O24" s="50" t="s">
        <v>40</v>
      </c>
      <c r="P24" s="50"/>
      <c r="Q24" s="38"/>
      <c r="T24" s="43"/>
      <c r="U24" s="43"/>
    </row>
    <row r="25" customFormat="false" ht="12.8" hidden="false" customHeight="false" outlineLevel="0" collapsed="false">
      <c r="A25" s="49" t="s">
        <v>41</v>
      </c>
      <c r="B25" s="49"/>
      <c r="C25" s="49"/>
      <c r="D25" s="49"/>
      <c r="E25" s="49"/>
      <c r="F25" s="49"/>
      <c r="G25" s="52"/>
      <c r="H25" s="53"/>
      <c r="I25" s="53"/>
      <c r="J25" s="53"/>
      <c r="K25" s="3"/>
      <c r="L25" s="45"/>
      <c r="M25" s="54"/>
      <c r="N25" s="54"/>
      <c r="O25" s="55"/>
      <c r="P25" s="54"/>
      <c r="Q25" s="38"/>
      <c r="R25" s="47" t="s">
        <v>32</v>
      </c>
      <c r="T25" s="43"/>
      <c r="U25" s="43"/>
    </row>
    <row r="26" customFormat="false" ht="12.8" hidden="false" customHeight="false" outlineLevel="0" collapsed="false">
      <c r="A26" s="56" t="s">
        <v>42</v>
      </c>
      <c r="B26" s="3"/>
      <c r="C26" s="3"/>
      <c r="D26" s="3"/>
      <c r="E26" s="3"/>
      <c r="F26" s="3"/>
      <c r="G26" s="45"/>
      <c r="H26" s="53" t="n">
        <v>0</v>
      </c>
      <c r="I26" s="53"/>
      <c r="J26" s="53"/>
      <c r="K26" s="3"/>
      <c r="L26" s="45"/>
      <c r="M26" s="54"/>
      <c r="N26" s="54"/>
      <c r="O26" s="54"/>
      <c r="P26" s="54"/>
      <c r="Q26" s="38"/>
      <c r="R26" s="47"/>
      <c r="T26" s="43"/>
      <c r="U26" s="43"/>
    </row>
    <row r="27" customFormat="false" ht="12.75" hidden="false" customHeight="true" outlineLevel="0" collapsed="false">
      <c r="A27" s="56" t="s">
        <v>43</v>
      </c>
      <c r="B27" s="56"/>
      <c r="C27" s="56"/>
      <c r="D27" s="56"/>
      <c r="E27" s="56"/>
      <c r="F27" s="56"/>
      <c r="G27" s="56"/>
      <c r="H27" s="23"/>
      <c r="I27" s="23"/>
      <c r="J27" s="23"/>
      <c r="K27" s="3"/>
      <c r="L27" s="45"/>
      <c r="M27" s="54"/>
      <c r="N27" s="54"/>
      <c r="O27" s="54"/>
      <c r="P27" s="57"/>
      <c r="Q27" s="38"/>
      <c r="R27" s="58" t="n">
        <f aca="false">P74</f>
        <v>2086.5</v>
      </c>
      <c r="T27" s="43"/>
      <c r="U27" s="43"/>
    </row>
    <row r="28" customFormat="false" ht="12.8" hidden="false" customHeight="false" outlineLevel="0" collapsed="false">
      <c r="A28" s="59" t="s">
        <v>44</v>
      </c>
      <c r="B28" s="59"/>
      <c r="C28" s="59"/>
      <c r="D28" s="59"/>
      <c r="E28" s="59"/>
      <c r="F28" s="59"/>
      <c r="G28" s="60"/>
      <c r="H28" s="61"/>
      <c r="I28" s="61"/>
      <c r="J28" s="61"/>
      <c r="K28" s="3"/>
      <c r="L28" s="45"/>
      <c r="M28" s="54"/>
      <c r="N28" s="54"/>
      <c r="O28" s="54"/>
      <c r="P28" s="54"/>
      <c r="Q28" s="38"/>
      <c r="R28" s="58"/>
      <c r="T28" s="43"/>
      <c r="U28" s="43"/>
      <c r="V28" s="62"/>
    </row>
    <row r="29" customFormat="false" ht="12.75" hidden="false" customHeight="true" outlineLevel="0" collapsed="false">
      <c r="A29" s="63" t="s">
        <v>45</v>
      </c>
      <c r="B29" s="63"/>
      <c r="C29" s="63"/>
      <c r="D29" s="63"/>
      <c r="E29" s="63"/>
      <c r="F29" s="63"/>
      <c r="G29" s="63"/>
      <c r="H29" s="53"/>
      <c r="I29" s="53"/>
      <c r="J29" s="53"/>
      <c r="K29" s="3"/>
      <c r="L29" s="45"/>
      <c r="M29" s="54"/>
      <c r="N29" s="54"/>
      <c r="O29" s="54"/>
      <c r="P29" s="54"/>
      <c r="Q29" s="38"/>
      <c r="R29" s="58"/>
      <c r="T29" s="43"/>
      <c r="U29" s="43"/>
      <c r="V29" s="62"/>
    </row>
    <row r="30" customFormat="false" ht="12.75" hidden="false" customHeight="true" outlineLevel="0" collapsed="false">
      <c r="A30" s="63" t="s">
        <v>46</v>
      </c>
      <c r="B30" s="63"/>
      <c r="C30" s="63"/>
      <c r="D30" s="63"/>
      <c r="E30" s="63"/>
      <c r="F30" s="63"/>
      <c r="G30" s="63"/>
      <c r="H30" s="53"/>
      <c r="I30" s="53"/>
      <c r="J30" s="53"/>
      <c r="K30" s="3"/>
      <c r="L30" s="45"/>
      <c r="M30" s="54"/>
      <c r="N30" s="54"/>
      <c r="O30" s="54"/>
      <c r="P30" s="64"/>
      <c r="Q30" s="65" t="s">
        <v>47</v>
      </c>
      <c r="R30" s="58"/>
      <c r="T30" s="43"/>
      <c r="V30" s="62"/>
    </row>
    <row r="31" customFormat="false" ht="12.75" hidden="false" customHeight="true" outlineLevel="0" collapsed="false">
      <c r="A31" s="63" t="s">
        <v>48</v>
      </c>
      <c r="B31" s="63"/>
      <c r="C31" s="63"/>
      <c r="D31" s="63"/>
      <c r="E31" s="63"/>
      <c r="F31" s="63"/>
      <c r="G31" s="63"/>
      <c r="H31" s="53"/>
      <c r="I31" s="53"/>
      <c r="J31" s="53"/>
      <c r="K31" s="3"/>
      <c r="L31" s="45"/>
      <c r="M31" s="54"/>
      <c r="N31" s="54"/>
      <c r="O31" s="54"/>
      <c r="P31" s="54"/>
      <c r="Q31" s="65"/>
      <c r="R31" s="28" t="s">
        <v>49</v>
      </c>
      <c r="T31" s="43"/>
      <c r="V31" s="62"/>
    </row>
    <row r="32" customFormat="false" ht="12.75" hidden="false" customHeight="true" outlineLevel="0" collapsed="false">
      <c r="A32" s="63" t="s">
        <v>50</v>
      </c>
      <c r="B32" s="63"/>
      <c r="C32" s="63"/>
      <c r="D32" s="63"/>
      <c r="E32" s="63"/>
      <c r="F32" s="63"/>
      <c r="G32" s="63"/>
      <c r="H32" s="53"/>
      <c r="I32" s="53"/>
      <c r="J32" s="53"/>
      <c r="K32" s="3"/>
      <c r="L32" s="45"/>
      <c r="M32" s="54"/>
      <c r="N32" s="54"/>
      <c r="O32" s="54"/>
      <c r="P32" s="54"/>
      <c r="Q32" s="65"/>
      <c r="R32" s="28"/>
      <c r="T32" s="43"/>
      <c r="V32" s="62"/>
    </row>
    <row r="33" customFormat="false" ht="12.8" hidden="false" customHeight="false" outlineLevel="0" collapsed="false">
      <c r="A33" s="66" t="s">
        <v>51</v>
      </c>
      <c r="B33" s="66"/>
      <c r="C33" s="66"/>
      <c r="D33" s="66"/>
      <c r="E33" s="66"/>
      <c r="F33" s="66"/>
      <c r="G33" s="66"/>
      <c r="H33" s="53"/>
      <c r="I33" s="53"/>
      <c r="J33" s="53"/>
      <c r="K33" s="3"/>
      <c r="L33" s="45"/>
      <c r="M33" s="54"/>
      <c r="N33" s="54"/>
      <c r="O33" s="54"/>
      <c r="P33" s="54"/>
      <c r="Q33" s="65"/>
      <c r="R33" s="28"/>
      <c r="T33" s="43"/>
      <c r="V33" s="62"/>
    </row>
    <row r="34" customFormat="false" ht="12.8" hidden="false" customHeight="false" outlineLevel="0" collapsed="false">
      <c r="A34" s="66" t="s">
        <v>52</v>
      </c>
      <c r="B34" s="66"/>
      <c r="C34" s="66"/>
      <c r="D34" s="66"/>
      <c r="E34" s="66"/>
      <c r="F34" s="66"/>
      <c r="G34" s="66"/>
      <c r="H34" s="53"/>
      <c r="I34" s="53"/>
      <c r="J34" s="53"/>
      <c r="K34" s="3"/>
      <c r="L34" s="45"/>
      <c r="M34" s="54"/>
      <c r="N34" s="54"/>
      <c r="O34" s="54"/>
      <c r="P34" s="54"/>
      <c r="Q34" s="65"/>
      <c r="T34" s="43"/>
    </row>
    <row r="35" customFormat="false" ht="12.75" hidden="false" customHeight="false" outlineLevel="0" collapsed="false">
      <c r="A35" s="66" t="s">
        <v>53</v>
      </c>
      <c r="B35" s="66"/>
      <c r="C35" s="66"/>
      <c r="D35" s="66"/>
      <c r="E35" s="66"/>
      <c r="F35" s="66"/>
      <c r="G35" s="66"/>
      <c r="H35" s="53"/>
      <c r="I35" s="53"/>
      <c r="J35" s="53"/>
      <c r="K35" s="3"/>
      <c r="L35" s="45"/>
      <c r="M35" s="54"/>
      <c r="N35" s="54"/>
      <c r="O35" s="54"/>
      <c r="P35" s="54"/>
      <c r="Q35" s="65"/>
      <c r="T35" s="43"/>
    </row>
    <row r="36" customFormat="false" ht="12.75" hidden="false" customHeight="false" outlineLevel="0" collapsed="false">
      <c r="A36" s="48" t="s">
        <v>54</v>
      </c>
      <c r="B36" s="48"/>
      <c r="C36" s="48"/>
      <c r="D36" s="48"/>
      <c r="E36" s="48"/>
      <c r="F36" s="48"/>
      <c r="G36" s="45"/>
      <c r="H36" s="53" t="n">
        <f aca="false">SUM(H29:J35)</f>
        <v>0</v>
      </c>
      <c r="I36" s="53"/>
      <c r="J36" s="53"/>
      <c r="K36" s="3"/>
      <c r="L36" s="45"/>
      <c r="M36" s="54"/>
      <c r="N36" s="54"/>
      <c r="O36" s="54"/>
      <c r="P36" s="54"/>
      <c r="Q36" s="65"/>
      <c r="R36" s="67" t="s">
        <v>27</v>
      </c>
      <c r="T36" s="43"/>
    </row>
    <row r="37" customFormat="false" ht="12.75" hidden="false" customHeight="true" outlineLevel="0" collapsed="false">
      <c r="A37" s="3" t="s">
        <v>55</v>
      </c>
      <c r="B37" s="3"/>
      <c r="C37" s="3"/>
      <c r="D37" s="3"/>
      <c r="E37" s="3"/>
      <c r="F37" s="3"/>
      <c r="G37" s="45"/>
      <c r="H37" s="53" t="n">
        <f aca="false">P74</f>
        <v>2086.5</v>
      </c>
      <c r="I37" s="53"/>
      <c r="J37" s="53"/>
      <c r="K37" s="3"/>
      <c r="L37" s="45"/>
      <c r="M37" s="54"/>
      <c r="N37" s="54"/>
      <c r="O37" s="54"/>
      <c r="P37" s="54"/>
      <c r="Q37" s="65"/>
      <c r="R37" s="67"/>
    </row>
    <row r="38" customFormat="false" ht="12.75" hidden="false" customHeight="false" outlineLevel="0" collapsed="false">
      <c r="A38" s="49" t="s">
        <v>56</v>
      </c>
      <c r="B38" s="49"/>
      <c r="C38" s="49"/>
      <c r="D38" s="49"/>
      <c r="E38" s="49"/>
      <c r="F38" s="49"/>
      <c r="G38" s="52"/>
      <c r="H38" s="53" t="n">
        <f aca="false">IF((H25+H26+H36-H37)&lt;0,0,H25+H26+H36-H37)</f>
        <v>0</v>
      </c>
      <c r="I38" s="53"/>
      <c r="J38" s="53"/>
      <c r="K38" s="3"/>
      <c r="L38" s="45"/>
      <c r="M38" s="54"/>
      <c r="N38" s="54"/>
      <c r="O38" s="54"/>
      <c r="P38" s="54"/>
      <c r="Q38" s="65"/>
      <c r="R38" s="67"/>
    </row>
    <row r="39" customFormat="false" ht="12.75" hidden="false" customHeight="false" outlineLevel="0" collapsed="false">
      <c r="A39" s="3" t="s">
        <v>42</v>
      </c>
      <c r="B39" s="3"/>
      <c r="C39" s="3"/>
      <c r="D39" s="3"/>
      <c r="E39" s="3"/>
      <c r="F39" s="3"/>
      <c r="G39" s="45"/>
      <c r="H39" s="53" t="n">
        <f aca="false">IF((H25+H26+H36-H37)&gt;0,0,H25+H26+H36-H37)</f>
        <v>-2086.5</v>
      </c>
      <c r="I39" s="53"/>
      <c r="J39" s="53"/>
      <c r="K39" s="3"/>
      <c r="L39" s="45"/>
      <c r="M39" s="54"/>
      <c r="N39" s="54"/>
      <c r="O39" s="54"/>
      <c r="P39" s="54"/>
      <c r="Q39" s="65"/>
      <c r="R39" s="67"/>
    </row>
    <row r="40" customFormat="false" ht="12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14"/>
      <c r="N40" s="14"/>
      <c r="O40" s="14"/>
      <c r="P40" s="68"/>
      <c r="Q40" s="65"/>
      <c r="R40" s="69" t="str">
        <f aca="false">O6</f>
        <v>31 січня</v>
      </c>
    </row>
    <row r="41" customFormat="false" ht="12.75" hidden="false" customHeight="false" outlineLevel="0" collapsed="false">
      <c r="A41" s="3" t="s">
        <v>57</v>
      </c>
      <c r="B41" s="14"/>
      <c r="C41" s="70"/>
      <c r="D41" s="70"/>
      <c r="E41" s="71" t="s">
        <v>58</v>
      </c>
      <c r="F41" s="71"/>
      <c r="G41" s="71"/>
      <c r="H41" s="3"/>
      <c r="I41" s="3"/>
      <c r="J41" s="3"/>
      <c r="K41" s="3"/>
      <c r="L41" s="3"/>
      <c r="M41" s="14"/>
      <c r="N41" s="3"/>
      <c r="O41" s="3"/>
      <c r="P41" s="15"/>
      <c r="Q41" s="65"/>
      <c r="R41" s="69"/>
    </row>
    <row r="42" customFormat="false" ht="12.75" hidden="false" customHeight="false" outlineLevel="0" collapsed="false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72"/>
      <c r="Q42" s="65"/>
      <c r="R42" s="69"/>
    </row>
    <row r="43" customFormat="false" ht="12.75" hidden="false" customHeight="false" outlineLevel="0" collapsed="false">
      <c r="A43" s="73" t="s">
        <v>59</v>
      </c>
      <c r="B43" s="74"/>
      <c r="C43" s="74"/>
      <c r="D43" s="74"/>
      <c r="E43" s="3" t="s">
        <v>60</v>
      </c>
      <c r="F43" s="3"/>
      <c r="G43" s="74"/>
      <c r="H43" s="74"/>
      <c r="I43" s="3" t="s">
        <v>32</v>
      </c>
      <c r="J43" s="75" t="s">
        <v>61</v>
      </c>
      <c r="K43" s="75"/>
      <c r="L43" s="75"/>
      <c r="M43" s="75"/>
      <c r="N43" s="3" t="s">
        <v>62</v>
      </c>
      <c r="O43" s="3"/>
      <c r="P43" s="15"/>
      <c r="Q43" s="65"/>
      <c r="R43" s="69"/>
    </row>
    <row r="44" customFormat="false" ht="12.75" hidden="false" customHeight="false" outlineLevel="0" collapsed="false">
      <c r="A44" s="76" t="s">
        <v>63</v>
      </c>
      <c r="B44" s="3"/>
      <c r="C44" s="3"/>
      <c r="D44" s="3"/>
      <c r="E44" s="3"/>
      <c r="F44" s="3"/>
      <c r="G44" s="3"/>
      <c r="H44" s="3"/>
      <c r="I44" s="3"/>
      <c r="J44" s="77" t="s">
        <v>64</v>
      </c>
      <c r="K44" s="77"/>
      <c r="L44" s="77"/>
      <c r="M44" s="77"/>
      <c r="N44" s="3"/>
      <c r="O44" s="3"/>
      <c r="P44" s="3"/>
      <c r="Q44" s="3"/>
    </row>
    <row r="45" customFormat="false" ht="12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customFormat="false" ht="12.75" hidden="false" customHeight="false" outlineLevel="0" collapsed="false">
      <c r="A46" s="78" t="str">
        <f aca="false">O6</f>
        <v>31 січня</v>
      </c>
      <c r="B46" s="78"/>
      <c r="C46" s="78"/>
      <c r="D46" s="48" t="s">
        <v>27</v>
      </c>
      <c r="E46" s="48"/>
      <c r="F46" s="45"/>
      <c r="G46" s="79" t="s">
        <v>65</v>
      </c>
      <c r="H46" s="79"/>
      <c r="I46" s="49"/>
      <c r="J46" s="49"/>
      <c r="K46" s="49"/>
      <c r="L46" s="49"/>
      <c r="M46" s="3" t="s">
        <v>66</v>
      </c>
      <c r="N46" s="3"/>
      <c r="O46" s="3"/>
      <c r="P46" s="3"/>
      <c r="Q46" s="3"/>
    </row>
    <row r="47" customFormat="false" ht="12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customFormat="false" ht="12" hidden="false" customHeight="true" outlineLevel="0" collapsed="false">
      <c r="A48" s="80" t="s">
        <v>67</v>
      </c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</row>
    <row r="49" customFormat="false" ht="12.75" hidden="false" customHeight="false" outlineLevel="0" collapsed="false">
      <c r="A49" s="80" t="s">
        <v>68</v>
      </c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</row>
    <row r="50" customFormat="false" ht="12.75" hidden="false" customHeight="false" outlineLevel="0" collapsed="false">
      <c r="A50" s="81" t="s">
        <v>69</v>
      </c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</row>
    <row r="51" customFormat="false" ht="12.75" hidden="false" customHeight="false" outlineLevel="0" collapsed="false">
      <c r="A51" s="80" t="s">
        <v>70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</row>
    <row r="52" customFormat="false" ht="12.75" hidden="false" customHeight="true" outlineLevel="0" collapsed="false">
      <c r="A52" s="82" t="s">
        <v>71</v>
      </c>
      <c r="B52" s="82"/>
      <c r="C52" s="82"/>
      <c r="D52" s="82"/>
      <c r="E52" s="82"/>
      <c r="F52" s="82"/>
      <c r="G52" s="82"/>
      <c r="H52" s="82"/>
      <c r="I52" s="82"/>
      <c r="J52" s="82"/>
      <c r="K52" s="82" t="s">
        <v>72</v>
      </c>
      <c r="L52" s="82"/>
      <c r="M52" s="82"/>
      <c r="N52" s="82"/>
      <c r="O52" s="82"/>
      <c r="P52" s="82"/>
      <c r="Q52" s="82"/>
    </row>
    <row r="53" customFormat="false" ht="12.75" hidden="false" customHeight="false" outlineLevel="0" collapsed="false">
      <c r="A53" s="80" t="s">
        <v>73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</row>
    <row r="54" customFormat="false" ht="12.75" hidden="false" customHeight="true" outlineLevel="0" collapsed="false">
      <c r="A54" s="82" t="s">
        <v>74</v>
      </c>
      <c r="B54" s="82"/>
      <c r="C54" s="82"/>
      <c r="D54" s="82"/>
      <c r="E54" s="82"/>
      <c r="F54" s="82"/>
      <c r="G54" s="82"/>
      <c r="H54" s="82"/>
      <c r="I54" s="82"/>
      <c r="J54" s="82"/>
      <c r="K54" s="82" t="s">
        <v>75</v>
      </c>
      <c r="L54" s="82"/>
      <c r="M54" s="82"/>
      <c r="N54" s="82"/>
      <c r="O54" s="82"/>
      <c r="P54" s="82"/>
      <c r="Q54" s="82"/>
    </row>
    <row r="55" customFormat="false" ht="12.75" hidden="false" customHeight="false" outlineLevel="0" collapsed="false">
      <c r="A55" s="83" t="s">
        <v>76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4"/>
      <c r="N55" s="4"/>
      <c r="O55" s="4"/>
      <c r="P55" s="4"/>
      <c r="Q55" s="4"/>
    </row>
    <row r="56" customFormat="false" ht="8.25" hidden="false" customHeight="true" outlineLevel="0" collapsed="false">
      <c r="A56" s="4"/>
      <c r="B56" s="4"/>
      <c r="C56" s="4"/>
      <c r="D56" s="4"/>
      <c r="E56" s="4"/>
      <c r="F56" s="4"/>
      <c r="G56" s="84" t="s">
        <v>77</v>
      </c>
      <c r="H56" s="84"/>
      <c r="I56" s="84"/>
      <c r="J56" s="84"/>
      <c r="K56" s="84"/>
      <c r="L56" s="84"/>
      <c r="M56" s="84"/>
      <c r="N56" s="4"/>
      <c r="O56" s="4"/>
      <c r="P56" s="4"/>
      <c r="Q56" s="4"/>
    </row>
    <row r="57" customFormat="false" ht="12.75" hidden="false" customHeight="false" outlineLevel="0" collapsed="false">
      <c r="A57" s="85" t="s">
        <v>78</v>
      </c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4"/>
      <c r="O57" s="4"/>
      <c r="P57" s="4"/>
      <c r="Q57" s="4"/>
      <c r="V57" s="1" t="n">
        <v>417.3</v>
      </c>
      <c r="W57" s="1" t="n">
        <v>5</v>
      </c>
      <c r="X57" s="1" t="n">
        <f aca="false">W57*V57</f>
        <v>2086.5</v>
      </c>
    </row>
    <row r="58" customFormat="false" ht="7.5" hidden="false" customHeight="true" outlineLevel="0" collapsed="false">
      <c r="A58" s="85" t="s">
        <v>79</v>
      </c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4"/>
      <c r="O58" s="4"/>
      <c r="P58" s="4"/>
      <c r="Q58" s="4"/>
    </row>
    <row r="59" customFormat="false" ht="9" hidden="false" customHeight="true" outlineLevel="0" collapsed="false">
      <c r="A59" s="85" t="s">
        <v>80</v>
      </c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4"/>
      <c r="O59" s="4"/>
      <c r="P59" s="4"/>
      <c r="Q59" s="4"/>
    </row>
    <row r="60" customFormat="false" ht="12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customFormat="false" ht="12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81</v>
      </c>
      <c r="P61" s="86"/>
      <c r="Q61" s="86"/>
    </row>
    <row r="62" customFormat="false" ht="12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78"/>
      <c r="Q62" s="78"/>
    </row>
    <row r="63" customFormat="false" ht="30.75" hidden="false" customHeight="true" outlineLevel="0" collapsed="false">
      <c r="A63" s="44" t="s">
        <v>82</v>
      </c>
      <c r="B63" s="44"/>
      <c r="C63" s="44" t="s">
        <v>83</v>
      </c>
      <c r="D63" s="44"/>
      <c r="E63" s="44" t="s">
        <v>84</v>
      </c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 t="s">
        <v>85</v>
      </c>
      <c r="Q63" s="44" t="s">
        <v>86</v>
      </c>
      <c r="R63" s="44"/>
      <c r="S63" s="44"/>
    </row>
    <row r="64" customFormat="false" ht="12.75" hidden="false" customHeight="true" outlineLevel="0" collapsed="false">
      <c r="A64" s="44" t="n">
        <v>1</v>
      </c>
      <c r="B64" s="44"/>
      <c r="C64" s="87"/>
      <c r="D64" s="87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53" t="n">
        <f aca="false">X57</f>
        <v>2086.5</v>
      </c>
      <c r="Q64" s="23" t="n">
        <v>84</v>
      </c>
      <c r="R64" s="23"/>
      <c r="S64" s="23"/>
    </row>
    <row r="65" customFormat="false" ht="12.75" hidden="false" customHeight="true" outlineLevel="0" collapsed="false">
      <c r="A65" s="44" t="n">
        <v>2</v>
      </c>
      <c r="B65" s="44"/>
      <c r="C65" s="87"/>
      <c r="D65" s="87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53"/>
      <c r="Q65" s="23" t="n">
        <v>84</v>
      </c>
      <c r="R65" s="23"/>
      <c r="S65" s="23"/>
    </row>
    <row r="66" customFormat="false" ht="12.75" hidden="false" customHeight="true" outlineLevel="0" collapsed="false">
      <c r="A66" s="44" t="n">
        <v>3</v>
      </c>
      <c r="B66" s="44"/>
      <c r="C66" s="87"/>
      <c r="D66" s="87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53"/>
      <c r="Q66" s="23" t="n">
        <v>84</v>
      </c>
      <c r="R66" s="23"/>
      <c r="S66" s="23"/>
    </row>
    <row r="67" customFormat="false" ht="12.75" hidden="false" customHeight="true" outlineLevel="0" collapsed="false">
      <c r="A67" s="44" t="n">
        <v>4</v>
      </c>
      <c r="B67" s="44"/>
      <c r="C67" s="87"/>
      <c r="D67" s="87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53"/>
      <c r="Q67" s="23" t="n">
        <v>84</v>
      </c>
      <c r="R67" s="23"/>
      <c r="S67" s="23"/>
    </row>
    <row r="68" customFormat="false" ht="12.75" hidden="false" customHeight="true" outlineLevel="0" collapsed="false">
      <c r="A68" s="44" t="n">
        <v>5</v>
      </c>
      <c r="B68" s="44"/>
      <c r="C68" s="87"/>
      <c r="D68" s="87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53"/>
      <c r="Q68" s="23" t="n">
        <v>84</v>
      </c>
      <c r="R68" s="23"/>
      <c r="S68" s="23"/>
    </row>
    <row r="69" customFormat="false" ht="12.75" hidden="false" customHeight="true" outlineLevel="0" collapsed="false">
      <c r="A69" s="44" t="n">
        <v>6</v>
      </c>
      <c r="B69" s="44"/>
      <c r="C69" s="87"/>
      <c r="D69" s="87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53"/>
      <c r="Q69" s="23" t="n">
        <v>84</v>
      </c>
      <c r="R69" s="23"/>
      <c r="S69" s="23"/>
    </row>
    <row r="70" customFormat="false" ht="12.75" hidden="false" customHeight="true" outlineLevel="0" collapsed="false">
      <c r="A70" s="44" t="n">
        <v>7</v>
      </c>
      <c r="B70" s="44"/>
      <c r="C70" s="87"/>
      <c r="D70" s="87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53"/>
      <c r="Q70" s="23" t="n">
        <v>84</v>
      </c>
      <c r="R70" s="23"/>
      <c r="S70" s="23"/>
    </row>
    <row r="71" customFormat="false" ht="12.75" hidden="false" customHeight="true" outlineLevel="0" collapsed="false">
      <c r="A71" s="44" t="n">
        <v>8</v>
      </c>
      <c r="B71" s="44"/>
      <c r="C71" s="87"/>
      <c r="D71" s="87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53"/>
      <c r="Q71" s="23" t="n">
        <v>84</v>
      </c>
      <c r="R71" s="23"/>
      <c r="S71" s="23"/>
    </row>
    <row r="72" customFormat="false" ht="12.75" hidden="false" customHeight="true" outlineLevel="0" collapsed="false">
      <c r="A72" s="44" t="n">
        <v>9</v>
      </c>
      <c r="B72" s="44"/>
      <c r="C72" s="87"/>
      <c r="D72" s="87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53"/>
      <c r="Q72" s="23" t="n">
        <v>84</v>
      </c>
      <c r="R72" s="23"/>
      <c r="S72" s="23"/>
    </row>
    <row r="73" customFormat="false" ht="12.75" hidden="false" customHeight="true" outlineLevel="0" collapsed="false">
      <c r="A73" s="44" t="n">
        <v>10</v>
      </c>
      <c r="B73" s="44"/>
      <c r="C73" s="87"/>
      <c r="D73" s="87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53"/>
      <c r="Q73" s="23" t="n">
        <v>84</v>
      </c>
      <c r="R73" s="23"/>
      <c r="S73" s="23"/>
    </row>
    <row r="74" customFormat="false" ht="12.75" hidden="false" customHeight="true" outlineLevel="0" collapsed="false">
      <c r="A74" s="44"/>
      <c r="B74" s="44"/>
      <c r="C74" s="44"/>
      <c r="D74" s="44"/>
      <c r="E74" s="89" t="s">
        <v>87</v>
      </c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90" t="n">
        <f aca="false">SUM(P64:P73)</f>
        <v>2086.5</v>
      </c>
      <c r="Q74" s="23"/>
      <c r="R74" s="23"/>
      <c r="S74" s="23"/>
    </row>
    <row r="75" customFormat="false" ht="12.75" hidden="false" customHeight="true" outlineLevel="0" collapsed="false">
      <c r="A75" s="91"/>
      <c r="B75" s="91"/>
      <c r="C75" s="91"/>
      <c r="D75" s="91"/>
      <c r="E75" s="91"/>
      <c r="F75" s="92"/>
      <c r="G75" s="92"/>
      <c r="H75" s="92"/>
      <c r="I75" s="93"/>
      <c r="J75" s="93"/>
      <c r="K75" s="93"/>
      <c r="L75" s="93"/>
      <c r="M75" s="93"/>
      <c r="N75" s="94"/>
      <c r="O75" s="94"/>
      <c r="P75" s="95"/>
      <c r="Q75" s="71"/>
      <c r="R75" s="71"/>
      <c r="S75" s="71"/>
    </row>
    <row r="76" customFormat="false" ht="12.75" hidden="false" customHeight="false" outlineLevel="0" collapsed="false">
      <c r="A76" s="77"/>
      <c r="B76" s="77"/>
      <c r="C76" s="96"/>
      <c r="D76" s="96"/>
      <c r="E76" s="96"/>
      <c r="F76" s="97"/>
      <c r="G76" s="97"/>
      <c r="H76" s="97"/>
      <c r="I76" s="93"/>
      <c r="J76" s="93"/>
      <c r="K76" s="93"/>
      <c r="L76" s="93"/>
      <c r="M76" s="93"/>
      <c r="N76" s="94"/>
      <c r="O76" s="94"/>
      <c r="P76" s="95"/>
      <c r="Q76" s="71"/>
      <c r="R76" s="71"/>
      <c r="S76" s="71"/>
    </row>
    <row r="77" customFormat="false" ht="12.75" hidden="false" customHeight="false" outlineLevel="0" collapsed="false">
      <c r="A77" s="3" t="s">
        <v>88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70" t="str">
        <f aca="false">O6</f>
        <v>31 січня</v>
      </c>
      <c r="O77" s="70"/>
      <c r="P77" s="98" t="s">
        <v>89</v>
      </c>
      <c r="Q77" s="98"/>
    </row>
  </sheetData>
  <mergeCells count="122">
    <mergeCell ref="B5:P5"/>
    <mergeCell ref="A8:J8"/>
    <mergeCell ref="A9:L9"/>
    <mergeCell ref="A10:F10"/>
    <mergeCell ref="M10:P10"/>
    <mergeCell ref="M11:P11"/>
    <mergeCell ref="Q11:Q15"/>
    <mergeCell ref="M12:P12"/>
    <mergeCell ref="R12:R15"/>
    <mergeCell ref="F16:I16"/>
    <mergeCell ref="Q16:Q29"/>
    <mergeCell ref="B17:I17"/>
    <mergeCell ref="R17:R18"/>
    <mergeCell ref="A18:J18"/>
    <mergeCell ref="T18:T36"/>
    <mergeCell ref="U18:U29"/>
    <mergeCell ref="R19:R23"/>
    <mergeCell ref="E22:I22"/>
    <mergeCell ref="H24:J24"/>
    <mergeCell ref="O24:P24"/>
    <mergeCell ref="H25:J25"/>
    <mergeCell ref="R25:R26"/>
    <mergeCell ref="H26:J26"/>
    <mergeCell ref="H27:J27"/>
    <mergeCell ref="R27:R30"/>
    <mergeCell ref="A28:F28"/>
    <mergeCell ref="H28:J28"/>
    <mergeCell ref="A29:G29"/>
    <mergeCell ref="H29:J29"/>
    <mergeCell ref="A30:G30"/>
    <mergeCell ref="H30:J30"/>
    <mergeCell ref="Q30:Q43"/>
    <mergeCell ref="A31:G31"/>
    <mergeCell ref="H31:J31"/>
    <mergeCell ref="R31:R33"/>
    <mergeCell ref="A32:G32"/>
    <mergeCell ref="H32:J32"/>
    <mergeCell ref="A33:G33"/>
    <mergeCell ref="H33:J33"/>
    <mergeCell ref="A34:G34"/>
    <mergeCell ref="H34:J34"/>
    <mergeCell ref="A35:G35"/>
    <mergeCell ref="H35:J35"/>
    <mergeCell ref="A36:F36"/>
    <mergeCell ref="H36:J36"/>
    <mergeCell ref="R36:R39"/>
    <mergeCell ref="H37:J37"/>
    <mergeCell ref="H38:J38"/>
    <mergeCell ref="H39:J39"/>
    <mergeCell ref="R40:R43"/>
    <mergeCell ref="C41:D41"/>
    <mergeCell ref="E41:G41"/>
    <mergeCell ref="J43:M43"/>
    <mergeCell ref="J44:M44"/>
    <mergeCell ref="A46:C46"/>
    <mergeCell ref="D46:E46"/>
    <mergeCell ref="G46:H46"/>
    <mergeCell ref="A48:Q48"/>
    <mergeCell ref="A49:Q49"/>
    <mergeCell ref="A51:Q51"/>
    <mergeCell ref="A52:J52"/>
    <mergeCell ref="K52:Q52"/>
    <mergeCell ref="A53:Q53"/>
    <mergeCell ref="A54:J54"/>
    <mergeCell ref="K54:Q54"/>
    <mergeCell ref="G56:M56"/>
    <mergeCell ref="P62:Q62"/>
    <mergeCell ref="A63:B63"/>
    <mergeCell ref="C63:D63"/>
    <mergeCell ref="E63:O63"/>
    <mergeCell ref="Q63:S63"/>
    <mergeCell ref="A64:B64"/>
    <mergeCell ref="C64:D64"/>
    <mergeCell ref="E64:O64"/>
    <mergeCell ref="Q64:S64"/>
    <mergeCell ref="A65:B65"/>
    <mergeCell ref="C65:D65"/>
    <mergeCell ref="E65:O65"/>
    <mergeCell ref="Q65:S65"/>
    <mergeCell ref="A66:B66"/>
    <mergeCell ref="C66:D66"/>
    <mergeCell ref="E66:O66"/>
    <mergeCell ref="Q66:S66"/>
    <mergeCell ref="A67:B67"/>
    <mergeCell ref="C67:D67"/>
    <mergeCell ref="E67:O67"/>
    <mergeCell ref="Q67:S67"/>
    <mergeCell ref="A68:B68"/>
    <mergeCell ref="C68:D68"/>
    <mergeCell ref="E68:O68"/>
    <mergeCell ref="Q68:S68"/>
    <mergeCell ref="A69:B69"/>
    <mergeCell ref="C69:D69"/>
    <mergeCell ref="E69:O69"/>
    <mergeCell ref="Q69:S69"/>
    <mergeCell ref="A70:B70"/>
    <mergeCell ref="C70:D70"/>
    <mergeCell ref="E70:O70"/>
    <mergeCell ref="Q70:S70"/>
    <mergeCell ref="A71:B71"/>
    <mergeCell ref="C71:D71"/>
    <mergeCell ref="E71:O71"/>
    <mergeCell ref="Q71:S71"/>
    <mergeCell ref="A72:B72"/>
    <mergeCell ref="C72:D72"/>
    <mergeCell ref="E72:O72"/>
    <mergeCell ref="Q72:S72"/>
    <mergeCell ref="A73:B73"/>
    <mergeCell ref="C73:D73"/>
    <mergeCell ref="E73:O73"/>
    <mergeCell ref="Q73:S73"/>
    <mergeCell ref="A74:B74"/>
    <mergeCell ref="C74:D74"/>
    <mergeCell ref="E74:O74"/>
    <mergeCell ref="Q74:S74"/>
    <mergeCell ref="A75:B75"/>
    <mergeCell ref="C75:E75"/>
    <mergeCell ref="A76:B76"/>
    <mergeCell ref="C76:E76"/>
    <mergeCell ref="F76:H76"/>
    <mergeCell ref="N77:O77"/>
    <mergeCell ref="P77:Q7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85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60" man="true" max="16383" min="0"/>
  </rowBreaks>
  <colBreaks count="1" manualBreakCount="1">
    <brk id="19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LibreOffice/6.0.7.3$Linux_X86_64 LibreOffice_project/00m0$Build-3</Application>
  <Company>GEA Group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2014-02-11T09:28:59Z</dcterms:created>
  <dc:creator>Boyashenko.na</dc:creator>
  <dc:description/>
  <dc:language>uk-UA</dc:language>
  <cp:lastModifiedBy/>
  <cp:lastPrinted>2019-11-05T08:17:29Z</cp:lastPrinted>
  <dcterms:modified xsi:type="dcterms:W3CDTF">2020-04-18T22:24:09Z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BExAnalyzer_OldName">
    <vt:lpwstr>Новый бланк Аван.отч. с 4.02.2014.xlsx</vt:lpwstr>
  </property>
  <property fmtid="{D5CDD505-2E9C-101B-9397-08002B2CF9AE}" pid="4" name="Company">
    <vt:lpwstr>GEA Group</vt:lpwstr>
  </property>
  <property fmtid="{D5CDD505-2E9C-101B-9397-08002B2CF9AE}" pid="5" name="ContentTypeId">
    <vt:lpwstr>0x010100DF16E2E68ECE6B41B7E166B096AD79F0</vt:lpwstr>
  </property>
  <property fmtid="{D5CDD505-2E9C-101B-9397-08002B2CF9AE}" pid="6" name="DocSecurity">
    <vt:i4>0</vt:i4>
  </property>
  <property fmtid="{D5CDD505-2E9C-101B-9397-08002B2CF9AE}" pid="7" name="HyperlinksChanged">
    <vt:bool>0</vt:bool>
  </property>
  <property fmtid="{D5CDD505-2E9C-101B-9397-08002B2CF9AE}" pid="8" name="LinksUpToDate">
    <vt:bool>0</vt:bool>
  </property>
  <property fmtid="{D5CDD505-2E9C-101B-9397-08002B2CF9AE}" pid="9" name="ScaleCrop">
    <vt:bool>0</vt:bool>
  </property>
  <property fmtid="{D5CDD505-2E9C-101B-9397-08002B2CF9AE}" pid="10" name="ShareDoc">
    <vt:bool>0</vt:bool>
  </property>
</Properties>
</file>