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Первый лист" sheetId="1" state="visible" r:id="rId1"/>
    <sheet name="Sheet" sheetId="2" state="visible" r:id="rId2"/>
  </sheets>
  <definedNames>
    <definedName localSheetId="0" name="_xlnm.Print_Area">'Первый лист'!$A$1:$S$77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DD/MM/YYYY" numFmtId="164"/>
  </numFmts>
  <fonts count="16">
    <font>
      <name val="Calibri"/>
      <family val="2"/>
      <color theme="1"/>
      <sz val="11"/>
      <scheme val="minor"/>
    </font>
    <font>
      <name val="Arial"/>
      <charset val="204"/>
      <family val="2"/>
      <b val="1"/>
      <sz val="12"/>
    </font>
    <font>
      <name val="Arial"/>
      <charset val="204"/>
      <family val="2"/>
      <sz val="10"/>
    </font>
    <font>
      <name val="Arial"/>
      <charset val="204"/>
      <family val="2"/>
      <sz val="8"/>
    </font>
    <font>
      <name val="Arial"/>
      <charset val="204"/>
      <family val="2"/>
      <sz val="12"/>
    </font>
    <font>
      <name val="Arial"/>
      <charset val="204"/>
      <family val="2"/>
      <b val="1"/>
      <sz val="10"/>
    </font>
    <font>
      <name val="Arial"/>
      <charset val="204"/>
      <family val="2"/>
      <b val="1"/>
      <sz val="11"/>
    </font>
    <font>
      <name val="Arial"/>
      <charset val="204"/>
      <family val="2"/>
      <b val="1"/>
      <sz val="10"/>
      <u val="single"/>
    </font>
    <font>
      <name val="Arial"/>
      <charset val="204"/>
      <family val="2"/>
      <b val="1"/>
      <sz val="9"/>
      <u val="single"/>
    </font>
    <font>
      <name val="Arial"/>
      <charset val="204"/>
      <family val="2"/>
      <sz val="9"/>
    </font>
    <font>
      <name val="Arial Cyr"/>
      <charset val="204"/>
      <family val="0"/>
      <sz val="10"/>
    </font>
    <font>
      <name val="Arial"/>
      <charset val="1"/>
      <family val="2"/>
      <sz val="10"/>
    </font>
    <font>
      <name val="Arial Cyr"/>
      <charset val="204"/>
      <family val="0"/>
      <sz val="9"/>
    </font>
    <font>
      <name val="Arial"/>
      <charset val="204"/>
      <family val="2"/>
      <b val="1"/>
      <i val="1"/>
      <sz val="11"/>
    </font>
    <font>
      <name val="Arial"/>
      <charset val="204"/>
      <family val="2"/>
      <b val="1"/>
      <sz val="8"/>
    </font>
    <font>
      <name val="Arial"/>
      <charset val="204"/>
      <family val="2"/>
      <sz val="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borderId="0" fillId="0" fontId="0" numFmtId="0"/>
    <xf applyAlignment="1" borderId="12" fillId="0" fontId="2" numFmtId="0">
      <alignment horizontal="center" vertical="center" wrapText="1"/>
    </xf>
  </cellStyleXfs>
  <cellXfs count="98">
    <xf borderId="0" fillId="0" fontId="0" numFmtId="0" pivotButton="0" quotePrefix="0" xfId="0"/>
    <xf applyAlignment="1" borderId="0" fillId="0" fontId="1" numFmtId="0" pivotButton="0" quotePrefix="0" xfId="0">
      <alignment horizontal="general" vertical="bottom"/>
    </xf>
    <xf applyAlignment="1" borderId="0" fillId="0" fontId="2" numFmtId="0" pivotButton="0" quotePrefix="0" xfId="0">
      <alignment horizontal="general" vertical="bottom"/>
    </xf>
    <xf applyAlignment="1" borderId="0" fillId="0" fontId="3" numFmtId="0" pivotButton="0" quotePrefix="0" xfId="0">
      <alignment horizontal="general" vertical="bottom"/>
    </xf>
    <xf applyAlignment="1" borderId="0" fillId="0" fontId="4" numFmtId="0" pivotButton="0" quotePrefix="0" xfId="0">
      <alignment horizontal="general" vertical="bottom"/>
    </xf>
    <xf applyAlignment="1" borderId="0" fillId="0" fontId="3" numFmtId="0" pivotButton="0" quotePrefix="0" xfId="0">
      <alignment horizontal="left" vertical="bottom"/>
    </xf>
    <xf applyAlignment="1" borderId="0" fillId="0" fontId="5" numFmtId="0" pivotButton="0" quotePrefix="0" xfId="0">
      <alignment horizontal="general" vertical="top" wrapText="1"/>
    </xf>
    <xf applyAlignment="1" borderId="0" fillId="0" fontId="6" numFmtId="0" pivotButton="0" quotePrefix="0" xfId="0">
      <alignment horizontal="center" vertical="center" wrapText="1"/>
    </xf>
    <xf applyAlignment="1" borderId="0" fillId="0" fontId="5" numFmtId="0" pivotButton="0" quotePrefix="0" xfId="0">
      <alignment horizontal="general" vertical="center" wrapText="1"/>
    </xf>
    <xf applyAlignment="1" borderId="0" fillId="0" fontId="5" numFmtId="0" pivotButton="0" quotePrefix="0" xfId="0">
      <alignment horizontal="center" vertical="center" wrapText="1"/>
    </xf>
    <xf applyAlignment="1" borderId="0" fillId="0" fontId="7" numFmtId="0" pivotButton="0" quotePrefix="0" xfId="0">
      <alignment horizontal="center" vertical="center" wrapText="1"/>
    </xf>
    <xf applyAlignment="1" borderId="0" fillId="0" fontId="8" numFmtId="0" pivotButton="0" quotePrefix="0" xfId="0">
      <alignment horizontal="center" vertical="top" wrapText="1"/>
    </xf>
    <xf applyAlignment="1" borderId="0" fillId="0" fontId="9" numFmtId="0" pivotButton="0" quotePrefix="0" xfId="0">
      <alignment horizontal="general" vertical="bottom"/>
    </xf>
    <xf applyAlignment="1" borderId="1" fillId="0" fontId="2" numFmtId="0" pivotButton="0" quotePrefix="0" xfId="0">
      <alignment horizontal="general" vertical="bottom"/>
    </xf>
    <xf applyAlignment="1" borderId="1" fillId="0" fontId="10" numFmtId="0" pivotButton="0" quotePrefix="0" xfId="0">
      <alignment horizontal="general" vertical="bottom"/>
    </xf>
    <xf applyAlignment="1" borderId="0" fillId="0" fontId="2" numFmtId="49" pivotButton="0" quotePrefix="0" xfId="0">
      <alignment horizontal="left" vertical="top" wrapText="1"/>
    </xf>
    <xf applyAlignment="1" borderId="0" fillId="0" fontId="5" numFmtId="49" pivotButton="0" quotePrefix="0" xfId="0">
      <alignment horizontal="left" vertical="center" wrapText="1"/>
    </xf>
    <xf applyAlignment="1" borderId="1" fillId="0" fontId="9" numFmtId="0" pivotButton="0" quotePrefix="0" xfId="0">
      <alignment horizontal="general" vertical="bottom"/>
    </xf>
    <xf applyAlignment="1" borderId="0" fillId="0" fontId="9" numFmtId="49" pivotButton="0" quotePrefix="0" xfId="0">
      <alignment horizontal="left" vertical="bottom" wrapText="1"/>
    </xf>
    <xf applyAlignment="1" borderId="2" fillId="0" fontId="9" numFmtId="0" pivotButton="0" quotePrefix="0" xfId="0">
      <alignment horizontal="left" vertical="center"/>
    </xf>
    <xf borderId="3" fillId="0" fontId="11" numFmtId="0" pivotButton="0" quotePrefix="0" xfId="0"/>
    <xf borderId="2" fillId="0" fontId="11" numFmtId="0" pivotButton="0" quotePrefix="0" xfId="0"/>
    <xf applyAlignment="1" borderId="4" fillId="0" fontId="2" numFmtId="0" pivotButton="0" quotePrefix="0" xfId="0">
      <alignment horizontal="center" vertical="center"/>
    </xf>
    <xf applyAlignment="1" borderId="4" fillId="0" fontId="2" numFmtId="49" pivotButton="0" quotePrefix="0" xfId="0">
      <alignment horizontal="center" vertical="center" wrapText="1"/>
    </xf>
    <xf applyAlignment="1" borderId="0" fillId="0" fontId="9" numFmtId="0" pivotButton="0" quotePrefix="0" xfId="0">
      <alignment horizontal="center" textRotation="90" vertical="bottom"/>
    </xf>
    <xf applyAlignment="1" borderId="5" fillId="0" fontId="9" numFmtId="0" pivotButton="0" quotePrefix="0" xfId="0">
      <alignment horizontal="general" vertical="bottom"/>
    </xf>
    <xf applyAlignment="1" borderId="2" fillId="0" fontId="9" numFmtId="0" pivotButton="0" quotePrefix="0" xfId="0">
      <alignment horizontal="left" vertical="bottom"/>
    </xf>
    <xf applyAlignment="1" borderId="0" fillId="0" fontId="12" numFmtId="0" pivotButton="0" quotePrefix="0" xfId="0">
      <alignment horizontal="center" textRotation="90" vertical="bottom"/>
    </xf>
    <xf applyAlignment="1" borderId="6" fillId="0" fontId="9" numFmtId="0" pivotButton="0" quotePrefix="0" xfId="0">
      <alignment horizontal="general" vertical="bottom"/>
    </xf>
    <xf applyAlignment="1" borderId="0" fillId="0" fontId="3" numFmtId="0" pivotButton="0" quotePrefix="0" xfId="0">
      <alignment horizontal="general" vertical="center"/>
    </xf>
    <xf applyAlignment="1" borderId="7" fillId="0" fontId="9" numFmtId="0" pivotButton="0" quotePrefix="0" xfId="0">
      <alignment horizontal="general" vertical="bottom"/>
    </xf>
    <xf applyAlignment="1" borderId="0" fillId="0" fontId="10" numFmtId="0" pivotButton="0" quotePrefix="0" xfId="0">
      <alignment horizontal="general" vertical="bottom"/>
    </xf>
    <xf applyAlignment="1" borderId="0" fillId="0" fontId="3" numFmtId="0" pivotButton="0" quotePrefix="0" xfId="0">
      <alignment horizontal="center" vertical="top"/>
    </xf>
    <xf applyAlignment="1" borderId="0" fillId="0" fontId="13" numFmtId="0" pivotButton="0" quotePrefix="0" xfId="0">
      <alignment horizontal="right" vertical="center"/>
    </xf>
    <xf applyAlignment="1" borderId="6" fillId="0" fontId="9" numFmtId="0" pivotButton="0" quotePrefix="0" xfId="0">
      <alignment horizontal="center" vertical="center"/>
    </xf>
    <xf applyAlignment="1" borderId="0" fillId="0" fontId="9" numFmtId="0" pivotButton="0" quotePrefix="0" xfId="0">
      <alignment horizontal="center" vertical="center"/>
    </xf>
    <xf applyAlignment="1" borderId="8" fillId="0" fontId="2" numFmtId="0" pivotButton="0" quotePrefix="0" xfId="0">
      <alignment horizontal="center" textRotation="90" vertical="center"/>
    </xf>
    <xf applyAlignment="1" borderId="0" fillId="0" fontId="6" numFmtId="0" pivotButton="0" quotePrefix="0" xfId="0">
      <alignment horizontal="right" vertical="center"/>
    </xf>
    <xf borderId="8" fillId="0" fontId="11" numFmtId="0" pivotButton="0" quotePrefix="0" xfId="0"/>
    <xf applyAlignment="1" borderId="1" fillId="0" fontId="10" numFmtId="0" pivotButton="0" quotePrefix="0" xfId="0">
      <alignment horizontal="center" vertical="bottom"/>
    </xf>
    <xf applyAlignment="1" borderId="6" fillId="0" fontId="3" numFmtId="0" pivotButton="0" quotePrefix="0" xfId="0">
      <alignment horizontal="left" vertical="center" wrapText="1"/>
    </xf>
    <xf borderId="6" fillId="0" fontId="11" numFmtId="0" pivotButton="0" quotePrefix="0" xfId="0"/>
    <xf applyAlignment="1" borderId="0" fillId="0" fontId="2" numFmtId="0" pivotButton="0" quotePrefix="0" xfId="0">
      <alignment horizontal="general" vertical="top" wrapText="1"/>
    </xf>
    <xf borderId="1" fillId="0" fontId="11" numFmtId="0" pivotButton="0" quotePrefix="0" xfId="0"/>
    <xf applyAlignment="1" borderId="0" fillId="0" fontId="10" numFmtId="0" pivotButton="0" quotePrefix="0" xfId="0">
      <alignment horizontal="center" vertical="bottom" wrapText="1"/>
    </xf>
    <xf applyAlignment="1" borderId="4" fillId="0" fontId="2" numFmtId="0" pivotButton="0" quotePrefix="0" xfId="0">
      <alignment horizontal="center" vertical="center" wrapText="1"/>
    </xf>
    <xf applyAlignment="1" borderId="6" fillId="0" fontId="9" numFmtId="2" pivotButton="0" quotePrefix="0" xfId="0">
      <alignment horizontal="general" vertical="bottom"/>
    </xf>
    <xf applyAlignment="1" borderId="9" fillId="0" fontId="12" numFmtId="0" pivotButton="0" quotePrefix="0" xfId="0">
      <alignment horizontal="center" textRotation="90" vertical="bottom"/>
    </xf>
    <xf borderId="9" fillId="0" fontId="11" numFmtId="0" pivotButton="0" quotePrefix="0" xfId="0"/>
    <xf applyAlignment="1" borderId="0" fillId="0" fontId="2" numFmtId="0" pivotButton="0" quotePrefix="0" xfId="0">
      <alignment horizontal="center" vertical="bottom"/>
    </xf>
    <xf applyAlignment="1" borderId="6" fillId="0" fontId="2" numFmtId="0" pivotButton="0" quotePrefix="0" xfId="0">
      <alignment horizontal="general" vertical="bottom"/>
    </xf>
    <xf applyAlignment="1" borderId="12" fillId="0" fontId="2" numFmtId="0" pivotButton="0" quotePrefix="0" xfId="1">
      <alignment horizontal="center" vertical="center" wrapText="1"/>
    </xf>
    <xf applyAlignment="1" borderId="4" fillId="0" fontId="2" numFmtId="0" pivotButton="0" quotePrefix="0" xfId="0">
      <alignment horizontal="center" vertical="bottom"/>
    </xf>
    <xf applyAlignment="1" borderId="2" fillId="0" fontId="2" numFmtId="0" pivotButton="0" quotePrefix="0" xfId="0">
      <alignment horizontal="center" vertical="bottom"/>
    </xf>
    <xf applyAlignment="1" borderId="7" fillId="0" fontId="2" numFmtId="0" pivotButton="0" quotePrefix="0" xfId="0">
      <alignment horizontal="general" vertical="bottom"/>
    </xf>
    <xf applyAlignment="1" borderId="4" fillId="0" fontId="2" numFmtId="0" pivotButton="0" quotePrefix="0" xfId="0">
      <alignment horizontal="general" vertical="bottom"/>
    </xf>
    <xf applyAlignment="1" borderId="4" fillId="0" fontId="2" numFmtId="2" pivotButton="0" quotePrefix="0" xfId="0">
      <alignment horizontal="general" vertical="bottom"/>
    </xf>
    <xf applyAlignment="1" borderId="0" fillId="0" fontId="2" numFmtId="0" pivotButton="0" quotePrefix="0" xfId="0">
      <alignment horizontal="general" vertical="top"/>
    </xf>
    <xf applyAlignment="1" borderId="8" fillId="0" fontId="10" numFmtId="2" pivotButton="0" quotePrefix="0" xfId="0">
      <alignment horizontal="center" textRotation="90" vertical="center"/>
    </xf>
    <xf applyAlignment="1" borderId="0" fillId="0" fontId="3" numFmtId="0" pivotButton="0" quotePrefix="0" xfId="0">
      <alignment horizontal="general" vertical="top"/>
    </xf>
    <xf applyAlignment="1" borderId="0" fillId="0" fontId="2" numFmtId="2" pivotButton="0" quotePrefix="0" xfId="0">
      <alignment horizontal="center" vertical="center"/>
    </xf>
    <xf applyAlignment="1" borderId="7" fillId="0" fontId="2" numFmtId="0" pivotButton="0" quotePrefix="0" xfId="0">
      <alignment horizontal="left" vertical="center"/>
    </xf>
    <xf borderId="7" fillId="0" fontId="11" numFmtId="0" pivotButton="0" quotePrefix="0" xfId="0"/>
    <xf applyAlignment="1" borderId="10" fillId="0" fontId="2" numFmtId="0" pivotButton="0" quotePrefix="0" xfId="0">
      <alignment horizontal="general" vertical="bottom"/>
    </xf>
    <xf applyAlignment="1" borderId="9" fillId="0" fontId="9" numFmtId="0" pivotButton="0" quotePrefix="0" xfId="0">
      <alignment horizontal="center" textRotation="90" vertical="bottom" wrapText="1"/>
    </xf>
    <xf applyAlignment="1" borderId="2" fillId="0" fontId="2" numFmtId="0" pivotButton="0" quotePrefix="0" xfId="0">
      <alignment horizontal="left" vertical="center"/>
    </xf>
    <xf applyAlignment="1" borderId="0" fillId="0" fontId="12" numFmtId="0" pivotButton="0" quotePrefix="0" xfId="0">
      <alignment horizontal="right" textRotation="90" vertical="center"/>
    </xf>
    <xf applyAlignment="1" borderId="11" fillId="0" fontId="2" numFmtId="0" pivotButton="0" quotePrefix="0" xfId="0">
      <alignment horizontal="general" vertical="bottom"/>
    </xf>
    <xf applyAlignment="1" borderId="1" fillId="0" fontId="12" numFmtId="0" pivotButton="0" quotePrefix="0" xfId="0">
      <alignment horizontal="right" textRotation="90" vertical="center"/>
    </xf>
    <xf applyAlignment="1" borderId="6" fillId="0" fontId="2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3" fillId="0" fontId="2" numFmtId="0" pivotButton="0" quotePrefix="0" xfId="0">
      <alignment horizontal="left" vertical="bottom"/>
    </xf>
    <xf applyAlignment="1" borderId="3" fillId="0" fontId="2" numFmtId="0" pivotButton="0" quotePrefix="0" xfId="0">
      <alignment horizontal="general" vertical="bottom"/>
    </xf>
    <xf applyAlignment="1" borderId="3" fillId="0" fontId="2" numFmtId="0" pivotButton="0" quotePrefix="0" xfId="0">
      <alignment horizontal="center" vertical="center"/>
    </xf>
    <xf applyAlignment="1" borderId="0" fillId="0" fontId="2" numFmtId="0" pivotButton="0" quotePrefix="0" xfId="0">
      <alignment horizontal="left" vertical="top"/>
    </xf>
    <xf applyAlignment="1" borderId="5" fillId="0" fontId="2" numFmtId="0" pivotButton="0" quotePrefix="0" xfId="0">
      <alignment horizontal="center" vertical="bottom"/>
    </xf>
    <xf borderId="5" fillId="0" fontId="11" numFmtId="0" pivotButton="0" quotePrefix="0" xfId="0"/>
    <xf applyAlignment="1" borderId="6" fillId="0" fontId="2" numFmtId="0" pivotButton="0" quotePrefix="0" xfId="0">
      <alignment horizontal="center" vertical="bottom"/>
    </xf>
    <xf applyAlignment="1" borderId="0" fillId="0" fontId="2" numFmtId="0" pivotButton="0" quotePrefix="0" xfId="0">
      <alignment horizontal="right" vertical="center"/>
    </xf>
    <xf applyAlignment="1" borderId="0" fillId="0" fontId="14" numFmtId="0" pivotButton="0" quotePrefix="0" xfId="0">
      <alignment horizontal="left" vertical="bottom"/>
    </xf>
    <xf applyAlignment="1" borderId="0" fillId="0" fontId="14" numFmtId="0" pivotButton="0" quotePrefix="0" xfId="0">
      <alignment horizontal="left" vertical="bottom" wrapText="1"/>
    </xf>
    <xf applyAlignment="1" borderId="0" fillId="0" fontId="14" numFmtId="0" pivotButton="0" quotePrefix="0" xfId="0">
      <alignment horizontal="general" vertical="bottom"/>
    </xf>
    <xf applyAlignment="1" borderId="0" fillId="0" fontId="15" numFmtId="0" pivotButton="0" quotePrefix="0" xfId="0">
      <alignment horizontal="center" vertical="bottom"/>
    </xf>
    <xf applyAlignment="1" borderId="0" fillId="0" fontId="15" numFmtId="0" pivotButton="0" quotePrefix="0" xfId="0">
      <alignment horizontal="general" vertical="bottom"/>
    </xf>
    <xf applyAlignment="1" borderId="0" fillId="0" fontId="2" numFmtId="0" pivotButton="0" quotePrefix="0" xfId="0">
      <alignment horizontal="general" vertical="center"/>
    </xf>
    <xf applyAlignment="1" borderId="4" fillId="0" fontId="2" numFmtId="164" pivotButton="0" quotePrefix="0" xfId="0">
      <alignment horizontal="center" vertical="center" wrapText="1"/>
    </xf>
    <xf applyAlignment="1" borderId="4" fillId="0" fontId="2" numFmtId="0" pivotButton="0" quotePrefix="0" xfId="0">
      <alignment horizontal="left" vertical="center" wrapText="1"/>
    </xf>
    <xf applyAlignment="1" borderId="4" fillId="0" fontId="2" numFmtId="2" pivotButton="0" quotePrefix="0" xfId="0">
      <alignment horizontal="center" vertical="center"/>
    </xf>
    <xf applyAlignment="1" borderId="4" fillId="0" fontId="5" numFmtId="0" pivotButton="0" quotePrefix="0" xfId="0">
      <alignment horizontal="right" vertical="center" wrapText="1"/>
    </xf>
    <xf applyAlignment="1" borderId="4" fillId="0" fontId="5" numFmtId="2" pivotButton="0" quotePrefix="0" xfId="0">
      <alignment horizontal="center" vertical="center"/>
    </xf>
    <xf applyAlignment="1" borderId="3" fillId="0" fontId="2" numFmtId="0" pivotButton="0" quotePrefix="0" xfId="0">
      <alignment horizontal="center" vertical="center" wrapText="1"/>
    </xf>
    <xf applyAlignment="1" borderId="5" fillId="0" fontId="5" numFmtId="0" pivotButton="0" quotePrefix="0" xfId="0">
      <alignment horizontal="right" vertical="center" wrapText="1"/>
    </xf>
    <xf applyAlignment="1" borderId="0" fillId="0" fontId="5" numFmtId="0" pivotButton="0" quotePrefix="0" xfId="0">
      <alignment horizontal="right" vertical="center" wrapText="1"/>
    </xf>
    <xf applyAlignment="1" borderId="6" fillId="0" fontId="5" numFmtId="0" pivotButton="0" quotePrefix="0" xfId="0">
      <alignment horizontal="right" vertical="center" wrapText="1"/>
    </xf>
    <xf applyAlignment="1" borderId="0" fillId="0" fontId="5" numFmtId="2" pivotButton="0" quotePrefix="0" xfId="0">
      <alignment horizontal="center" vertical="center"/>
    </xf>
    <xf applyAlignment="1" borderId="5" fillId="0" fontId="2" numFmtId="49" pivotButton="0" quotePrefix="0" xfId="0">
      <alignment horizontal="center" vertical="bottom"/>
    </xf>
    <xf applyAlignment="1" borderId="5" fillId="0" fontId="2" numFmtId="164" pivotButton="0" quotePrefix="0" xfId="0">
      <alignment horizontal="center" vertical="bottom"/>
    </xf>
    <xf applyAlignment="1" borderId="0" fillId="0" fontId="2" numFmtId="0" pivotButton="0" quotePrefix="0" xfId="0">
      <alignment horizontal="left" vertical="center"/>
    </xf>
  </cellXfs>
  <cellStyles count="2">
    <cellStyle builtinId="0" hidden="0" name="Normal" xfId="0"/>
    <cellStyle hidden="0" name="left_border" xfId="1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7"/>
  <sheetViews>
    <sheetView workbookViewId="0">
      <selection activeCell="A1" sqref="A1"/>
    </sheetView>
  </sheetViews>
  <sheetFormatPr baseColWidth="8" defaultRowHeight="15"/>
  <cols>
    <col customWidth="1" max="1" min="1" width="4.07835"/>
    <col customWidth="1" max="2" min="2" width="2.48835"/>
    <col customWidth="1" max="3" min="3" width="3.5139"/>
    <col customWidth="1" max="4" min="4" width="4.65075"/>
    <col customWidth="1" max="5" min="5" width="3.85575"/>
    <col customWidth="1" max="6" min="6" width="3.41055"/>
    <col customWidth="1" max="7" min="7" width="4.8813"/>
    <col customWidth="1" max="8" min="8" width="3.98295"/>
    <col customWidth="1" max="9" min="9" width="3.41055"/>
    <col customWidth="1" max="10" min="10" width="3.405"/>
    <col customWidth="1" max="11" min="11" width="1.91595"/>
    <col customWidth="1" max="12" min="12" width="1.83645"/>
    <col customWidth="1" max="13" min="13" width="10.0965"/>
    <col customWidth="1" max="14" min="14" width="6.9165"/>
    <col customWidth="1" max="15" min="15" width="8.729100000000001"/>
    <col customWidth="1" max="16" min="16" width="8.27595"/>
    <col customWidth="1" max="17" min="17" width="2.2578"/>
    <col customWidth="1" max="18" min="18" width="2.1465"/>
    <col customWidth="1" max="19" min="19" width="2.6235"/>
    <col customWidth="1" max="20" min="20" width="7.258350000000001"/>
    <col customWidth="1" max="258" min="258" width="7.258350000000001"/>
  </cols>
  <sheetData>
    <row customHeight="1" ht="12"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 xml:space="preserve">ЗАТВЕРДЖЕНО </t>
        </is>
      </c>
      <c r="O1" s="4" t="n"/>
      <c r="P1" s="4" t="n"/>
      <c r="Q1" s="4" t="n"/>
    </row>
    <row customHeight="1" ht="11.25"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5" t="inlineStr">
        <is>
          <t>Наказ Міністерства доходів і зборів</t>
        </is>
      </c>
      <c r="O2" s="4" t="n"/>
      <c r="P2" s="4" t="n"/>
      <c r="Q2" s="4" t="n"/>
    </row>
    <row customHeight="1" ht="11.25"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5" t="inlineStr">
        <is>
          <t xml:space="preserve"> України</t>
        </is>
      </c>
      <c r="O3" s="4" t="n"/>
      <c r="P3" s="4" t="n"/>
      <c r="Q3" s="4" t="n"/>
    </row>
    <row customHeight="1" ht="11.25" r="4">
      <c r="A4" s="1" t="n"/>
      <c r="B4" s="2" t="n"/>
      <c r="C4" s="2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3" t="inlineStr">
        <is>
          <t>24.12.2013 № 845</t>
        </is>
      </c>
      <c r="O4" s="4" t="n"/>
      <c r="P4" s="4" t="n"/>
      <c r="Q4" s="4" t="n"/>
    </row>
    <row customHeight="1" ht="24" r="5">
      <c r="A5" s="1" t="n"/>
      <c r="B5" s="7" t="inlineStr">
        <is>
          <t xml:space="preserve">Звіт про використання коштів, виданих на відрядження або під звіт                           </t>
        </is>
      </c>
      <c r="Q5" s="2" t="n"/>
    </row>
    <row customHeight="1" ht="12" r="6">
      <c r="A6" s="6" t="n"/>
      <c r="B6" s="6" t="n"/>
      <c r="C6" s="6" t="n"/>
      <c r="D6" s="6" t="n"/>
      <c r="E6" s="6" t="n"/>
      <c r="F6" s="6" t="n"/>
      <c r="H6" s="8" t="n"/>
      <c r="I6" s="8" t="n"/>
      <c r="J6" s="8" t="n"/>
      <c r="K6" s="9" t="inlineStr">
        <is>
          <t>№</t>
        </is>
      </c>
      <c r="L6" s="8" t="n"/>
      <c r="M6" s="10" t="inlineStr">
        <is>
          <t>BOY200417</t>
        </is>
      </c>
      <c r="N6" s="9" t="inlineStr">
        <is>
          <t xml:space="preserve">від </t>
        </is>
      </c>
      <c r="O6" s="11" t="inlineStr">
        <is>
          <t>17 квітня</t>
        </is>
      </c>
      <c r="P6" s="6" t="inlineStr">
        <is>
          <t xml:space="preserve">2020 року </t>
        </is>
      </c>
      <c r="Q6" s="2" t="n"/>
    </row>
    <row customHeight="1" ht="13.5" r="7">
      <c r="A7" s="12" t="inlineStr">
        <is>
          <t>Найменування податкового</t>
        </is>
      </c>
      <c r="B7" s="2" t="n"/>
      <c r="C7" s="2" t="n"/>
      <c r="D7" s="6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13" t="n"/>
      <c r="Q7" s="2" t="n"/>
      <c r="R7" s="14" t="n"/>
    </row>
    <row customHeight="1" ht="13.5" r="8">
      <c r="A8" s="15" t="inlineStr">
        <is>
          <t xml:space="preserve"> агента: ДП "ГЕА Вестфалія Сепаратор Україна"</t>
        </is>
      </c>
      <c r="K8" s="2" t="n"/>
      <c r="L8" s="2" t="n"/>
      <c r="M8" s="2" t="n"/>
      <c r="N8" s="2" t="n"/>
      <c r="O8" s="2" t="n"/>
      <c r="P8" s="13" t="n"/>
      <c r="Q8" s="2" t="n"/>
      <c r="R8" s="14" t="n"/>
    </row>
    <row customHeight="1" ht="10.5" r="9">
      <c r="A9" s="16" t="n"/>
      <c r="M9" s="12" t="inlineStr">
        <is>
          <t>Звіт затверджено в сумі:</t>
        </is>
      </c>
      <c r="N9" s="12" t="n"/>
      <c r="O9" s="12" t="n"/>
      <c r="P9" s="17" t="n"/>
      <c r="Q9" s="2" t="n"/>
      <c r="R9" s="14" t="n"/>
    </row>
    <row customHeight="1" ht="12.75" r="10">
      <c r="A10" s="18" t="inlineStr">
        <is>
          <t>Код  за ЄДРПОУ</t>
        </is>
      </c>
      <c r="G10" s="2" t="n"/>
      <c r="H10" s="2" t="n"/>
      <c r="I10" s="2" t="n"/>
      <c r="J10" s="2" t="n"/>
      <c r="K10" s="2" t="n"/>
      <c r="L10" s="2" t="n"/>
      <c r="M10" s="19">
        <f>NA()</f>
        <v/>
      </c>
      <c r="N10" s="20" t="n"/>
      <c r="O10" s="20" t="n"/>
      <c r="P10" s="21" t="n"/>
      <c r="Q10" s="2" t="n"/>
      <c r="R10" s="14" t="n"/>
    </row>
    <row customHeight="1" ht="12.75" r="11">
      <c r="A11" s="22" t="n">
        <v>2</v>
      </c>
      <c r="B11" s="23" t="inlineStr">
        <is>
          <t>4</t>
        </is>
      </c>
      <c r="C11" s="23" t="inlineStr">
        <is>
          <t>9</t>
        </is>
      </c>
      <c r="D11" s="22" t="n">
        <v>2</v>
      </c>
      <c r="E11" s="22" t="n">
        <v>1</v>
      </c>
      <c r="F11" s="22" t="n">
        <v>9</v>
      </c>
      <c r="G11" s="22" t="n">
        <v>7</v>
      </c>
      <c r="H11" s="22" t="n">
        <v>1</v>
      </c>
      <c r="I11" s="2" t="n"/>
      <c r="J11" s="2" t="n"/>
      <c r="K11" s="2" t="n"/>
      <c r="L11" s="2" t="n"/>
      <c r="M11" s="19" t="n"/>
      <c r="N11" s="20" t="n"/>
      <c r="O11" s="20" t="n"/>
      <c r="P11" s="21" t="n"/>
      <c r="Q11" s="24" t="inlineStr">
        <is>
          <t>аванс.звіт</t>
        </is>
      </c>
      <c r="R11" s="14" t="n"/>
    </row>
    <row customHeight="1" ht="12.75" r="12">
      <c r="A12" s="25" t="inlineStr">
        <is>
          <t xml:space="preserve">Відділ: </t>
        </is>
      </c>
      <c r="B12" s="25" t="n"/>
      <c r="C12" s="12" t="n"/>
      <c r="D12" s="12" t="n"/>
      <c r="E12" s="12" t="inlineStr">
        <is>
          <t>Посада: сервісний інженер</t>
        </is>
      </c>
      <c r="F12" s="12" t="n"/>
      <c r="G12" s="12" t="n"/>
      <c r="H12" s="12" t="n"/>
      <c r="I12" s="12" t="n"/>
      <c r="J12" s="2" t="n"/>
      <c r="K12" s="2" t="n"/>
      <c r="L12" s="2" t="n"/>
      <c r="M12" s="26" t="n"/>
      <c r="N12" s="20" t="n"/>
      <c r="O12" s="20" t="n"/>
      <c r="P12" s="21" t="n"/>
      <c r="R12" s="27" t="inlineStr">
        <is>
          <t>Підпис:</t>
        </is>
      </c>
    </row>
    <row customHeight="1" ht="9"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" t="n"/>
      <c r="K13" s="2" t="n"/>
      <c r="L13" s="2" t="n"/>
      <c r="M13" s="12" t="n"/>
      <c r="N13" s="29" t="inlineStr">
        <is>
          <t xml:space="preserve">     (словами)</t>
        </is>
      </c>
      <c r="O13" s="12" t="n"/>
      <c r="P13" s="17" t="n"/>
    </row>
    <row customHeight="1" ht="12.75" r="14">
      <c r="A14" s="12" t="inlineStr">
        <is>
          <t>Цех:</t>
        </is>
      </c>
      <c r="B14" s="12" t="n"/>
      <c r="C14" s="12" t="n"/>
      <c r="D14" s="12" t="n"/>
      <c r="E14" s="12" t="inlineStr">
        <is>
          <t xml:space="preserve">Професія: </t>
        </is>
      </c>
      <c r="F14" s="12" t="n"/>
      <c r="G14" s="12" t="n"/>
      <c r="H14" s="12" t="n"/>
      <c r="I14" s="12" t="n"/>
      <c r="J14" s="2" t="n"/>
      <c r="K14" s="2" t="n"/>
      <c r="L14" s="2" t="n"/>
      <c r="M14" s="12" t="inlineStr">
        <is>
          <t>Керівник</t>
        </is>
      </c>
      <c r="N14" s="28" t="n"/>
      <c r="O14" s="28" t="n"/>
      <c r="P14" s="30" t="n"/>
      <c r="U14" s="31" t="inlineStr">
        <is>
          <t xml:space="preserve"> </t>
        </is>
      </c>
    </row>
    <row customHeight="1" ht="9"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12" t="n"/>
      <c r="O15" s="32" t="inlineStr">
        <is>
          <t>(підпис)</t>
        </is>
      </c>
      <c r="P15" s="12" t="n"/>
    </row>
    <row customHeight="1" ht="12.75" r="16">
      <c r="A16" s="2" t="n"/>
      <c r="B16" s="2" t="n"/>
      <c r="C16" s="2" t="n"/>
      <c r="D16" s="2" t="n"/>
      <c r="E16" s="2" t="n"/>
      <c r="F16" s="33" t="inlineStr">
        <is>
          <t>Yurii Bozhko</t>
        </is>
      </c>
      <c r="J16" s="2" t="n"/>
      <c r="K16" s="2" t="n"/>
      <c r="L16" s="2" t="n"/>
      <c r="M16" s="34">
        <f>O6</f>
        <v/>
      </c>
      <c r="N16" s="35" t="inlineStr">
        <is>
          <t>2020 року</t>
        </is>
      </c>
      <c r="O16" s="12" t="n"/>
      <c r="P16" s="17" t="n"/>
      <c r="Q16" s="36">
        <f>B17</f>
        <v/>
      </c>
    </row>
    <row customHeight="1" ht="15" r="17">
      <c r="A17" s="2" t="inlineStr">
        <is>
          <t>П.І.Б.</t>
        </is>
      </c>
      <c r="B17" s="37" t="inlineStr">
        <is>
          <t>Божко Юрій Володимирович</t>
        </is>
      </c>
      <c r="J17" s="2" t="n"/>
      <c r="K17" s="2" t="n"/>
      <c r="L17" s="2" t="n"/>
      <c r="M17" s="12" t="n"/>
      <c r="N17" s="12" t="n"/>
      <c r="O17" s="12" t="n"/>
      <c r="P17" s="17" t="n"/>
      <c r="Q17" s="38" t="n"/>
      <c r="R17" s="39">
        <f>C41</f>
        <v/>
      </c>
    </row>
    <row customHeight="1" ht="12.75" r="18">
      <c r="A18" s="40" t="inlineStr">
        <is>
          <t>Податковий номер (або серія і номер паспорта*)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2" t="n"/>
      <c r="L18" s="42" t="n"/>
      <c r="M18" s="12" t="inlineStr">
        <is>
          <t>Звіт перевірено</t>
        </is>
      </c>
      <c r="N18" s="12" t="n"/>
      <c r="O18" s="12" t="n"/>
      <c r="P18" s="17" t="n"/>
      <c r="Q18" s="38" t="n"/>
      <c r="R18" s="43" t="n"/>
      <c r="T18" s="44" t="n"/>
      <c r="U18" s="44" t="n"/>
    </row>
    <row customHeight="1" ht="12.8" r="19">
      <c r="A19" s="45" t="n">
        <v>3</v>
      </c>
      <c r="B19" s="45" t="n">
        <v>0</v>
      </c>
      <c r="C19" s="45" t="n">
        <v>5</v>
      </c>
      <c r="D19" s="22" t="n">
        <v>2</v>
      </c>
      <c r="E19" s="22" t="n">
        <v>7</v>
      </c>
      <c r="F19" s="22" t="n">
        <v>1</v>
      </c>
      <c r="G19" s="22" t="n">
        <v>8</v>
      </c>
      <c r="H19" s="22" t="n">
        <v>3</v>
      </c>
      <c r="I19" s="22" t="n">
        <v>7</v>
      </c>
      <c r="J19" s="22" t="n">
        <v>8</v>
      </c>
      <c r="K19" s="2" t="n"/>
      <c r="L19" s="2" t="n"/>
      <c r="M19" s="46">
        <f>P74</f>
        <v/>
      </c>
      <c r="N19" s="12" t="inlineStr">
        <is>
          <t>грн.</t>
        </is>
      </c>
      <c r="O19" s="12" t="n"/>
      <c r="P19" s="17" t="n"/>
      <c r="Q19" s="38" t="n"/>
      <c r="R19" s="47" t="inlineStr">
        <is>
          <t>Документів</t>
        </is>
      </c>
    </row>
    <row customHeight="1" ht="12.75" r="20">
      <c r="A20" s="42" t="n"/>
      <c r="B20" s="42" t="n"/>
      <c r="C20" s="4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4">
        <f>O6</f>
        <v/>
      </c>
      <c r="N20" s="35" t="inlineStr">
        <is>
          <t>2020 року</t>
        </is>
      </c>
      <c r="O20" s="12" t="n"/>
      <c r="P20" s="17" t="n"/>
      <c r="Q20" s="38" t="n"/>
      <c r="R20" s="48" t="n"/>
    </row>
    <row customHeight="1" ht="12.8" r="21">
      <c r="A21" s="42" t="n"/>
      <c r="B21" s="42" t="n"/>
      <c r="C21" s="4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5" t="n"/>
      <c r="N21" s="35" t="n"/>
      <c r="O21" s="12" t="n"/>
      <c r="P21" s="17" t="n"/>
      <c r="Q21" s="38" t="n"/>
      <c r="R21" s="48" t="n"/>
    </row>
    <row customHeight="1" ht="12.8" r="22">
      <c r="A22" s="2" t="inlineStr">
        <is>
          <t>Призначення авансу:</t>
        </is>
      </c>
      <c r="B22" s="2" t="n"/>
      <c r="C22" s="2" t="n"/>
      <c r="D22" s="2" t="n"/>
      <c r="E22" s="49" t="inlineStr">
        <is>
          <t xml:space="preserve">на відрядження </t>
        </is>
      </c>
      <c r="J22" s="2" t="n"/>
      <c r="K22" s="2" t="n"/>
      <c r="L22" s="2" t="n"/>
      <c r="M22" s="12" t="inlineStr">
        <is>
          <t>Бухгалтер______________</t>
        </is>
      </c>
      <c r="N22" s="12" t="n"/>
      <c r="O22" s="12" t="n"/>
      <c r="P22" s="17" t="n"/>
      <c r="Q22" s="38" t="n"/>
      <c r="R22" s="48" t="n"/>
    </row>
    <row customHeight="1" ht="12.8" r="23">
      <c r="A23" s="50" t="n"/>
      <c r="B23" s="50" t="n"/>
      <c r="C23" s="50" t="n"/>
      <c r="D23" s="50" t="n"/>
      <c r="E23" s="50" t="n"/>
      <c r="F23" s="50" t="n"/>
      <c r="G23" s="50" t="n"/>
      <c r="H23" s="2" t="n"/>
      <c r="I23" s="2" t="n"/>
      <c r="J23" s="2" t="n"/>
      <c r="K23" s="2" t="n"/>
      <c r="L23" s="2" t="n"/>
      <c r="M23" s="2" t="n"/>
      <c r="N23" s="2" t="n"/>
      <c r="O23" s="2" t="n"/>
      <c r="P23" s="13" t="n"/>
      <c r="Q23" s="38" t="n"/>
      <c r="R23" s="48" t="n"/>
    </row>
    <row customHeight="1" ht="12.8" r="24">
      <c r="A24" s="2" t="n"/>
      <c r="B24" s="2" t="n"/>
      <c r="C24" s="2" t="n"/>
      <c r="D24" s="2" t="n"/>
      <c r="E24" s="2" t="n"/>
      <c r="F24" s="2" t="n"/>
      <c r="G24" s="2" t="n"/>
      <c r="H24" s="51" t="inlineStr">
        <is>
          <t>Сума(грн, коп.)</t>
        </is>
      </c>
      <c r="I24" s="51" t="n"/>
      <c r="J24" s="51" t="n"/>
      <c r="K24" s="2" t="n"/>
      <c r="L24" s="2" t="n"/>
      <c r="M24" s="52" t="inlineStr">
        <is>
          <t>ДЕБЕТ</t>
        </is>
      </c>
      <c r="N24" s="53" t="inlineStr">
        <is>
          <t>КРЕДИТ</t>
        </is>
      </c>
      <c r="O24" s="52" t="inlineStr">
        <is>
          <t>СУМА (грн, коп.)</t>
        </is>
      </c>
      <c r="P24" s="21" t="n"/>
      <c r="Q24" s="38" t="n"/>
    </row>
    <row customHeight="1" ht="12.8" r="25">
      <c r="A25" s="50" t="inlineStr">
        <is>
          <t>Залишок попереднього авансу</t>
        </is>
      </c>
      <c r="B25" s="50" t="n"/>
      <c r="C25" s="50" t="n"/>
      <c r="D25" s="50" t="n"/>
      <c r="E25" s="50" t="n"/>
      <c r="F25" s="50" t="n"/>
      <c r="G25" s="54" t="n"/>
      <c r="H25" s="51" t="n"/>
      <c r="I25" s="51" t="n"/>
      <c r="J25" s="51" t="n"/>
      <c r="K25" s="2" t="n"/>
      <c r="L25" s="2" t="n"/>
      <c r="M25" s="55" t="n"/>
      <c r="N25" s="55" t="n"/>
      <c r="O25" s="56" t="n"/>
      <c r="P25" s="55" t="n"/>
      <c r="Q25" s="38" t="n"/>
      <c r="R25" s="47" t="inlineStr">
        <is>
          <t>грн.</t>
        </is>
      </c>
    </row>
    <row customHeight="1" ht="12.8" r="26">
      <c r="A26" s="57" t="inlineStr">
        <is>
          <t>Перевитрата</t>
        </is>
      </c>
      <c r="B26" s="2" t="n"/>
      <c r="C26" s="2" t="n"/>
      <c r="D26" s="2" t="n"/>
      <c r="E26" s="2" t="n"/>
      <c r="F26" s="2" t="n"/>
      <c r="G26" s="2" t="n"/>
      <c r="H26" s="51" t="n">
        <v>0</v>
      </c>
      <c r="I26" s="51" t="n"/>
      <c r="J26" s="51" t="n"/>
      <c r="K26" s="2" t="n"/>
      <c r="L26" s="2" t="n"/>
      <c r="M26" s="55" t="n"/>
      <c r="N26" s="55" t="n"/>
      <c r="O26" s="55" t="n"/>
      <c r="P26" s="55" t="n"/>
      <c r="Q26" s="38" t="n"/>
      <c r="R26" s="48" t="n"/>
    </row>
    <row customHeight="1" ht="12.75" r="27">
      <c r="A27" s="57" t="inlineStr">
        <is>
          <t xml:space="preserve">Одержано </t>
        </is>
      </c>
      <c r="B27" s="57" t="n"/>
      <c r="C27" s="57" t="n"/>
      <c r="D27" s="57" t="n"/>
      <c r="E27" s="57" t="n"/>
      <c r="F27" s="57" t="n"/>
      <c r="G27" s="57" t="n"/>
      <c r="H27" s="51" t="n"/>
      <c r="I27" s="51" t="n"/>
      <c r="J27" s="51" t="n"/>
      <c r="K27" s="2" t="n"/>
      <c r="L27" s="2" t="n"/>
      <c r="M27" s="55" t="n"/>
      <c r="N27" s="55" t="n"/>
      <c r="O27" s="55" t="n"/>
      <c r="P27" s="55" t="n"/>
      <c r="Q27" s="38" t="n"/>
      <c r="R27" s="58">
        <f>P74</f>
        <v/>
      </c>
    </row>
    <row customHeight="1" ht="12.8" r="28">
      <c r="A28" s="59" t="inlineStr">
        <is>
          <t>(від кого, № та дата)</t>
        </is>
      </c>
      <c r="G28" s="13" t="n"/>
      <c r="H28" s="51" t="n"/>
      <c r="I28" s="51" t="n"/>
      <c r="J28" s="51" t="n"/>
      <c r="K28" s="2" t="n"/>
      <c r="L28" s="2" t="n"/>
      <c r="M28" s="55" t="n"/>
      <c r="N28" s="55" t="n"/>
      <c r="O28" s="55" t="n"/>
      <c r="P28" s="55" t="n"/>
      <c r="Q28" s="38" t="n"/>
      <c r="R28" s="38" t="n"/>
      <c r="V28" s="60" t="n"/>
    </row>
    <row customHeight="1" ht="12.75" r="29">
      <c r="A29" s="61" t="inlineStr">
        <is>
          <t>1. Корп. Рах 15.04.20</t>
        </is>
      </c>
      <c r="B29" s="41" t="n"/>
      <c r="C29" s="41" t="n"/>
      <c r="D29" s="41" t="n"/>
      <c r="E29" s="41" t="n"/>
      <c r="F29" s="41" t="n"/>
      <c r="G29" s="62" t="n"/>
      <c r="H29" s="51" t="n">
        <v>34271.56</v>
      </c>
      <c r="I29" s="51" t="n"/>
      <c r="J29" s="51" t="n"/>
      <c r="K29" s="2" t="n"/>
      <c r="L29" s="2" t="n"/>
      <c r="M29" s="55" t="n"/>
      <c r="N29" s="55" t="n"/>
      <c r="O29" s="55" t="n"/>
      <c r="P29" s="55" t="n"/>
      <c r="Q29" s="38" t="n"/>
      <c r="R29" s="38" t="n"/>
      <c r="V29" s="60" t="n"/>
    </row>
    <row customHeight="1" ht="12.75" r="30">
      <c r="A30" s="61" t="inlineStr">
        <is>
          <t>2. Корп. Рах 21.04.20</t>
        </is>
      </c>
      <c r="B30" s="41" t="n"/>
      <c r="C30" s="41" t="n"/>
      <c r="D30" s="41" t="n"/>
      <c r="E30" s="41" t="n"/>
      <c r="F30" s="41" t="n"/>
      <c r="G30" s="62" t="n"/>
      <c r="H30" s="51" t="n">
        <v>5683.32</v>
      </c>
      <c r="I30" s="51" t="n"/>
      <c r="J30" s="51" t="n"/>
      <c r="K30" s="2" t="n"/>
      <c r="L30" s="2" t="n"/>
      <c r="M30" s="55" t="n"/>
      <c r="N30" s="55" t="n"/>
      <c r="O30" s="55" t="n"/>
      <c r="P30" s="63" t="n"/>
      <c r="Q30" s="64" t="inlineStr">
        <is>
          <t xml:space="preserve">РОЗПИСКА. Прийнятий на пере  вірку від </t>
        </is>
      </c>
      <c r="R30" s="38" t="n"/>
      <c r="V30" s="60" t="n"/>
    </row>
    <row customHeight="1" ht="12.75" r="31">
      <c r="A31" s="61" t="inlineStr">
        <is>
          <t xml:space="preserve">3. </t>
        </is>
      </c>
      <c r="B31" s="41" t="n"/>
      <c r="C31" s="41" t="n"/>
      <c r="D31" s="41" t="n"/>
      <c r="E31" s="41" t="n"/>
      <c r="F31" s="41" t="n"/>
      <c r="G31" s="62" t="n"/>
      <c r="H31" s="51" t="n"/>
      <c r="I31" s="51" t="n"/>
      <c r="J31" s="51" t="n"/>
      <c r="K31" s="2" t="n"/>
      <c r="L31" s="2" t="n"/>
      <c r="M31" s="55" t="n"/>
      <c r="N31" s="55" t="n"/>
      <c r="O31" s="55" t="n"/>
      <c r="P31" s="55" t="n"/>
      <c r="Q31" s="48" t="n"/>
      <c r="R31" s="27" t="inlineStr">
        <is>
          <t>На суму:</t>
        </is>
      </c>
      <c r="V31" s="60" t="n"/>
    </row>
    <row customHeight="1" ht="12.75" r="32">
      <c r="A32" s="61" t="inlineStr">
        <is>
          <t xml:space="preserve">4. </t>
        </is>
      </c>
      <c r="B32" s="41" t="n"/>
      <c r="C32" s="41" t="n"/>
      <c r="D32" s="41" t="n"/>
      <c r="E32" s="41" t="n"/>
      <c r="F32" s="41" t="n"/>
      <c r="G32" s="62" t="n"/>
      <c r="H32" s="51" t="n"/>
      <c r="I32" s="51" t="n"/>
      <c r="J32" s="51" t="n"/>
      <c r="K32" s="2" t="n"/>
      <c r="L32" s="2" t="n"/>
      <c r="M32" s="55" t="n"/>
      <c r="N32" s="55" t="n"/>
      <c r="O32" s="55" t="n"/>
      <c r="P32" s="55" t="n"/>
      <c r="Q32" s="48" t="n"/>
      <c r="V32" s="60" t="n"/>
    </row>
    <row customHeight="1" ht="12.8" r="33">
      <c r="A33" s="65" t="inlineStr">
        <is>
          <t xml:space="preserve">5. </t>
        </is>
      </c>
      <c r="B33" s="20" t="n"/>
      <c r="C33" s="20" t="n"/>
      <c r="D33" s="20" t="n"/>
      <c r="E33" s="20" t="n"/>
      <c r="F33" s="20" t="n"/>
      <c r="G33" s="21" t="n"/>
      <c r="H33" s="51" t="n"/>
      <c r="I33" s="51" t="n"/>
      <c r="J33" s="51" t="n"/>
      <c r="K33" s="2" t="n"/>
      <c r="L33" s="2" t="n"/>
      <c r="M33" s="55" t="n"/>
      <c r="N33" s="55" t="n"/>
      <c r="O33" s="55" t="n"/>
      <c r="P33" s="55" t="n"/>
      <c r="Q33" s="48" t="n"/>
      <c r="V33" s="60" t="n"/>
    </row>
    <row customHeight="1" ht="12.8" r="34">
      <c r="A34" s="65" t="inlineStr">
        <is>
          <t xml:space="preserve">6. </t>
        </is>
      </c>
      <c r="B34" s="20" t="n"/>
      <c r="C34" s="20" t="n"/>
      <c r="D34" s="20" t="n"/>
      <c r="E34" s="20" t="n"/>
      <c r="F34" s="20" t="n"/>
      <c r="G34" s="21" t="n"/>
      <c r="H34" s="51" t="n"/>
      <c r="I34" s="51" t="n"/>
      <c r="J34" s="51" t="n"/>
      <c r="K34" s="2" t="n"/>
      <c r="L34" s="2" t="n"/>
      <c r="M34" s="55" t="n"/>
      <c r="N34" s="55" t="n"/>
      <c r="O34" s="55" t="n"/>
      <c r="P34" s="55" t="n"/>
      <c r="Q34" s="48" t="n"/>
    </row>
    <row customHeight="1" ht="12.75" r="35">
      <c r="A35" s="65" t="inlineStr">
        <is>
          <t xml:space="preserve">7. </t>
        </is>
      </c>
      <c r="B35" s="20" t="n"/>
      <c r="C35" s="20" t="n"/>
      <c r="D35" s="20" t="n"/>
      <c r="E35" s="20" t="n"/>
      <c r="F35" s="20" t="n"/>
      <c r="G35" s="21" t="n"/>
      <c r="H35" s="51" t="n"/>
      <c r="I35" s="51" t="n"/>
      <c r="J35" s="51" t="n"/>
      <c r="K35" s="2" t="n"/>
      <c r="L35" s="2" t="n"/>
      <c r="M35" s="55" t="n"/>
      <c r="N35" s="55" t="n"/>
      <c r="O35" s="55" t="n"/>
      <c r="P35" s="55" t="n"/>
      <c r="Q35" s="48" t="n"/>
    </row>
    <row customHeight="1" ht="12.75" r="36">
      <c r="A36" s="49" t="inlineStr">
        <is>
          <t>Всього отримано</t>
        </is>
      </c>
      <c r="G36" s="2" t="n"/>
      <c r="H36" s="51">
        <f>SUM(H29:J35)</f>
        <v/>
      </c>
      <c r="I36" s="51" t="n"/>
      <c r="J36" s="51" t="n"/>
      <c r="K36" s="2" t="n"/>
      <c r="L36" s="2" t="n"/>
      <c r="M36" s="55" t="n"/>
      <c r="N36" s="55" t="n"/>
      <c r="O36" s="55" t="n"/>
      <c r="P36" s="55" t="n"/>
      <c r="Q36" s="48" t="n"/>
      <c r="R36" s="66" t="inlineStr">
        <is>
          <t>2020 року</t>
        </is>
      </c>
    </row>
    <row customHeight="1" ht="12.75" r="37">
      <c r="A37" s="2" t="inlineStr">
        <is>
          <t>Витрачено</t>
        </is>
      </c>
      <c r="B37" s="2" t="n"/>
      <c r="C37" s="2" t="n"/>
      <c r="D37" s="2" t="n"/>
      <c r="E37" s="2" t="n"/>
      <c r="F37" s="2" t="n"/>
      <c r="G37" s="2" t="n"/>
      <c r="H37" s="51">
        <f>P74</f>
        <v/>
      </c>
      <c r="I37" s="51" t="n"/>
      <c r="J37" s="51" t="n"/>
      <c r="K37" s="2" t="n"/>
      <c r="L37" s="2" t="n"/>
      <c r="M37" s="55" t="n"/>
      <c r="N37" s="55" t="n"/>
      <c r="O37" s="55" t="n"/>
      <c r="P37" s="55" t="n"/>
      <c r="Q37" s="48" t="n"/>
    </row>
    <row customHeight="1" ht="12.75" r="38">
      <c r="A38" s="50" t="inlineStr">
        <is>
          <t>Залишок</t>
        </is>
      </c>
      <c r="B38" s="50" t="n"/>
      <c r="C38" s="50" t="n"/>
      <c r="D38" s="50" t="n"/>
      <c r="E38" s="50" t="n"/>
      <c r="F38" s="50" t="n"/>
      <c r="G38" s="54" t="n"/>
      <c r="H38" s="51">
        <f>IF((H25+H26+H36-H37)&lt;0,0,H25+H26+H36-H37)</f>
        <v/>
      </c>
      <c r="I38" s="51" t="n"/>
      <c r="J38" s="51" t="n"/>
      <c r="K38" s="2" t="n"/>
      <c r="L38" s="2" t="n"/>
      <c r="M38" s="55" t="n"/>
      <c r="N38" s="55" t="n"/>
      <c r="O38" s="55" t="n"/>
      <c r="P38" s="55" t="n"/>
      <c r="Q38" s="48" t="n"/>
    </row>
    <row customHeight="1" ht="12.75" r="39">
      <c r="A39" s="2" t="inlineStr">
        <is>
          <t>Перевитрата</t>
        </is>
      </c>
      <c r="B39" s="2" t="n"/>
      <c r="C39" s="2" t="n"/>
      <c r="D39" s="2" t="n"/>
      <c r="E39" s="2" t="n"/>
      <c r="F39" s="2" t="n"/>
      <c r="G39" s="2" t="n"/>
      <c r="H39" s="51">
        <f>IF((H25+H26+H36-H37)&gt;0,0,H25+H26+H36-H37)</f>
        <v/>
      </c>
      <c r="I39" s="51" t="n"/>
      <c r="J39" s="51" t="n"/>
      <c r="K39" s="2" t="n"/>
      <c r="L39" s="2" t="n"/>
      <c r="M39" s="55" t="n"/>
      <c r="N39" s="55" t="n"/>
      <c r="O39" s="55" t="n"/>
      <c r="P39" s="55" t="n"/>
      <c r="Q39" s="48" t="n"/>
    </row>
    <row customHeight="1" ht="12.75"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67" t="n"/>
      <c r="Q40" s="48" t="n"/>
      <c r="R40" s="68">
        <f>O6</f>
        <v/>
      </c>
    </row>
    <row customHeight="1" ht="12.75" r="41">
      <c r="A41" s="2" t="inlineStr">
        <is>
          <t>Додаток</t>
        </is>
      </c>
      <c r="B41" s="2" t="n"/>
      <c r="C41" s="69" t="n"/>
      <c r="D41" s="41" t="n"/>
      <c r="E41" s="70" t="inlineStr">
        <is>
          <t>документів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13" t="n"/>
      <c r="Q41" s="48" t="n"/>
      <c r="R41" s="43" t="n"/>
    </row>
    <row customHeight="1" ht="12.75" r="42">
      <c r="A42" s="50" t="n"/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4" t="n"/>
      <c r="Q42" s="48" t="n"/>
      <c r="R42" s="43" t="n"/>
    </row>
    <row customHeight="1" ht="12.75" r="43">
      <c r="A43" s="71" t="inlineStr">
        <is>
          <t>Залишок унесений</t>
        </is>
      </c>
      <c r="B43" s="72" t="n"/>
      <c r="C43" s="72" t="n"/>
      <c r="D43" s="72" t="n"/>
      <c r="E43" s="2" t="inlineStr">
        <is>
          <t>у сумі</t>
        </is>
      </c>
      <c r="F43" s="2" t="n"/>
      <c r="G43" s="72" t="n"/>
      <c r="H43" s="72" t="n"/>
      <c r="I43" s="2" t="inlineStr">
        <is>
          <t>грн.</t>
        </is>
      </c>
      <c r="J43" s="73" t="inlineStr">
        <is>
          <t>за касовим ордером</t>
        </is>
      </c>
      <c r="K43" s="20" t="n"/>
      <c r="L43" s="20" t="n"/>
      <c r="M43" s="20" t="n"/>
      <c r="N43" s="2" t="inlineStr">
        <is>
          <t xml:space="preserve"> №_____від________2020 року</t>
        </is>
      </c>
      <c r="O43" s="2" t="n"/>
      <c r="P43" s="13" t="n"/>
      <c r="Q43" s="48" t="n"/>
      <c r="R43" s="43" t="n"/>
    </row>
    <row customHeight="1" ht="12.75" r="44">
      <c r="A44" s="74" t="inlineStr">
        <is>
          <t>Перевитрата видана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75" t="inlineStr">
        <is>
          <t>платіж. дорученням</t>
        </is>
      </c>
      <c r="K44" s="76" t="n"/>
      <c r="L44" s="76" t="n"/>
      <c r="M44" s="76" t="n"/>
      <c r="N44" s="2" t="n"/>
      <c r="O44" s="2" t="n"/>
      <c r="P44" s="2" t="n"/>
      <c r="Q44" s="2" t="n"/>
    </row>
    <row customHeight="1" ht="12.75"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customHeight="1" ht="12.75" r="46">
      <c r="A46" s="77">
        <f>O6</f>
        <v/>
      </c>
      <c r="B46" s="41" t="n"/>
      <c r="C46" s="41" t="n"/>
      <c r="D46" s="49" t="inlineStr">
        <is>
          <t>2020 року</t>
        </is>
      </c>
      <c r="F46" s="2" t="n"/>
      <c r="G46" s="78" t="inlineStr">
        <is>
          <t>Підпис</t>
        </is>
      </c>
      <c r="I46" s="50" t="n"/>
      <c r="J46" s="50" t="n"/>
      <c r="K46" s="50" t="n"/>
      <c r="L46" s="50" t="n"/>
      <c r="M46" s="2" t="inlineStr">
        <is>
          <t>Перелік документів наведено на звороті.</t>
        </is>
      </c>
      <c r="N46" s="2" t="n"/>
      <c r="O46" s="2" t="n"/>
      <c r="P46" s="2" t="n"/>
      <c r="Q46" s="2" t="n"/>
    </row>
    <row customHeight="1" ht="12.75"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customHeight="1" ht="12" r="48">
      <c r="A48" s="79" t="inlineStr">
        <is>
          <t>При неповерненні суми надміру витрачених коштів протягом звітного місяця, на який припадає граничний термін повернення:</t>
        </is>
      </c>
    </row>
    <row customHeight="1" ht="12.75" r="49">
      <c r="A49" s="79" t="inlineStr">
        <is>
          <t xml:space="preserve">Сума податку = не повернута сума х ставка оподаткування </t>
        </is>
      </c>
    </row>
    <row customHeight="1" ht="12.75" r="50">
      <c r="A50" s="79" t="inlineStr">
        <is>
          <t xml:space="preserve">(пункт 167.1 статті 167 Податкового кодексу України) : 100. </t>
        </is>
      </c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</row>
    <row customHeight="1" ht="12.75" r="51">
      <c r="A51" s="79" t="inlineStr">
        <is>
          <t xml:space="preserve">Сума податку ____ (грн.) = не повернута сума ________ (грн.) х 15 : 100. </t>
        </is>
      </c>
    </row>
    <row customHeight="1" ht="12.75" r="52">
      <c r="A52" s="80" t="inlineStr">
        <is>
          <t>Підпис особи, що склала розрахунок __________</t>
        </is>
      </c>
      <c r="K52" s="80" t="inlineStr">
        <is>
          <t xml:space="preserve">               Дата складання розрахунку _________ 2020  року </t>
        </is>
      </c>
    </row>
    <row customHeight="1" ht="12.75" r="53">
      <c r="A53" s="79" t="inlineStr">
        <is>
          <t xml:space="preserve">Сума податку ____ (грн.) = не повернута сума ________ (грн.) х 17 : 100. </t>
        </is>
      </c>
    </row>
    <row customHeight="1" ht="12.75" r="54">
      <c r="A54" s="80" t="inlineStr">
        <is>
          <t xml:space="preserve">Підпис особи, що склала розрахунок______________________ </t>
        </is>
      </c>
      <c r="K54" s="80" t="inlineStr">
        <is>
          <t xml:space="preserve">              Дата складання розрахунку __________2020  року </t>
        </is>
      </c>
    </row>
    <row customHeight="1" ht="12.75" r="55">
      <c r="A55" s="81" t="inlineStr">
        <is>
          <t xml:space="preserve">З розрахунком ознайомлений:  підпис _________________________________________ Дата ______________ </t>
        </is>
      </c>
      <c r="B55" s="81" t="n"/>
      <c r="C55" s="81" t="n"/>
      <c r="D55" s="81" t="n"/>
      <c r="E55" s="81" t="n"/>
      <c r="F55" s="81" t="n"/>
      <c r="G55" s="81" t="n"/>
      <c r="H55" s="81" t="n"/>
      <c r="I55" s="81" t="n"/>
      <c r="J55" s="81" t="n"/>
      <c r="K55" s="81" t="n"/>
      <c r="L55" s="81" t="n"/>
      <c r="M55" s="3" t="n"/>
      <c r="N55" s="3" t="n"/>
      <c r="O55" s="3" t="n"/>
      <c r="P55" s="3" t="n"/>
      <c r="Q55" s="3" t="n"/>
    </row>
    <row customHeight="1" ht="8.25" r="56">
      <c r="A56" s="3" t="n"/>
      <c r="B56" s="3" t="n"/>
      <c r="C56" s="3" t="n"/>
      <c r="D56" s="3" t="n"/>
      <c r="E56" s="3" t="n"/>
      <c r="F56" s="3" t="n"/>
      <c r="G56" s="82" t="inlineStr">
        <is>
          <t xml:space="preserve">(прізвище, ім'я, по батькові) </t>
        </is>
      </c>
      <c r="N56" s="3" t="n"/>
      <c r="O56" s="3" t="n"/>
      <c r="P56" s="3" t="n"/>
      <c r="Q56" s="3" t="n"/>
    </row>
    <row customHeight="1" ht="12.75" r="57">
      <c r="A57" s="83" t="inlineStr">
        <is>
          <t xml:space="preserve">* Серія та номер паспорта для фізичних осіб, які через свої релігійні переконання відмовились </t>
        </is>
      </c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3" t="n"/>
      <c r="O57" s="3" t="n"/>
      <c r="P57" s="3" t="n"/>
      <c r="Q57" s="3" t="n"/>
      <c r="V57" s="31" t="n">
        <v>427.3</v>
      </c>
      <c r="W57" s="31" t="inlineStr">
        <is>
          <t>15</t>
        </is>
      </c>
      <c r="X57" s="31">
        <f>W57*V57</f>
        <v/>
      </c>
    </row>
    <row customHeight="1" ht="7.5" r="58">
      <c r="A58" s="83" t="inlineStr">
        <is>
          <t xml:space="preserve">від прийняття реєстраційного номера облікової картки платника податків та повідомили про це </t>
        </is>
      </c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3" t="n"/>
      <c r="O58" s="3" t="n"/>
      <c r="P58" s="3" t="n"/>
      <c r="Q58" s="3" t="n"/>
    </row>
    <row customHeight="1" ht="9" r="59">
      <c r="A59" s="83" t="inlineStr">
        <is>
          <t>відповідний орган державної податкової служби і мають відмітку у паспорті</t>
        </is>
      </c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3" t="n"/>
      <c r="O59" s="3" t="n"/>
      <c r="P59" s="3" t="n"/>
      <c r="Q59" s="3" t="n"/>
    </row>
    <row customHeight="1" ht="12.75"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customHeight="1" ht="12.75"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Зворотний бік</t>
        </is>
      </c>
      <c r="P61" s="84" t="n"/>
      <c r="Q61" s="84" t="n"/>
    </row>
    <row customHeight="1" ht="12.75"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77" t="n"/>
      <c r="Q62" s="41" t="n"/>
    </row>
    <row customHeight="1" ht="30.75" r="63">
      <c r="A63" s="45" t="inlineStr">
        <is>
          <t>Пор.№ док.</t>
        </is>
      </c>
      <c r="B63" s="21" t="n"/>
      <c r="C63" s="45" t="inlineStr">
        <is>
          <t>Дата  документа</t>
        </is>
      </c>
      <c r="D63" s="21" t="n"/>
      <c r="E63" s="45" t="inlineStr">
        <is>
          <t>Кому, за що і на підставі якого документа заплачено</t>
        </is>
      </c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1" t="n"/>
      <c r="P63" s="45" t="inlineStr">
        <is>
          <t>Сума (грн, коп.)</t>
        </is>
      </c>
      <c r="Q63" s="51" t="inlineStr">
        <is>
          <t xml:space="preserve">Дебет рахунку </t>
        </is>
      </c>
      <c r="R63" s="51" t="n"/>
      <c r="S63" s="51" t="n"/>
    </row>
    <row customHeight="1" ht="12.75" r="64">
      <c r="A64" s="45" t="n">
        <v>1</v>
      </c>
      <c r="B64" s="21" t="n"/>
      <c r="C64" s="85" t="n"/>
      <c r="D64" s="21" t="n"/>
      <c r="E64" s="86" t="inlineStr">
        <is>
          <t>Добові (15х427.3 грн)</t>
        </is>
      </c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1" t="n"/>
      <c r="P64" s="87">
        <f>X57</f>
        <v/>
      </c>
      <c r="Q64" s="51" t="n">
        <v>84</v>
      </c>
      <c r="R64" s="51" t="n"/>
      <c r="S64" s="51" t="n"/>
    </row>
    <row customHeight="1" ht="12.75" r="65">
      <c r="A65" s="45" t="n">
        <v>2</v>
      </c>
      <c r="B65" s="21" t="n"/>
      <c r="C65" s="85" t="inlineStr">
        <is>
          <t>15.04.20</t>
        </is>
      </c>
      <c r="D65" s="21" t="n"/>
      <c r="E65" s="86" t="inlineStr">
        <is>
          <t>Проживання в готелі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1" t="n"/>
      <c r="P65" s="87" t="n">
        <v>34271.56</v>
      </c>
      <c r="Q65" s="51" t="n">
        <v>84</v>
      </c>
      <c r="R65" s="51" t="n"/>
      <c r="S65" s="51" t="n"/>
    </row>
    <row customHeight="1" ht="12.75" r="66">
      <c r="A66" s="45" t="n">
        <v>3</v>
      </c>
      <c r="B66" s="21" t="n"/>
      <c r="C66" s="85" t="inlineStr">
        <is>
          <t>21.04.20</t>
        </is>
      </c>
      <c r="D66" s="21" t="n"/>
      <c r="E66" s="86" t="inlineStr">
        <is>
          <t>Проживання в готелі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1" t="n"/>
      <c r="P66" s="87" t="n">
        <v>5683.32</v>
      </c>
      <c r="Q66" s="51" t="n">
        <v>84</v>
      </c>
      <c r="R66" s="51" t="n"/>
      <c r="S66" s="51" t="n"/>
    </row>
    <row customHeight="1" ht="12.75" r="67">
      <c r="A67" s="45" t="n">
        <v>4</v>
      </c>
      <c r="B67" s="21" t="n"/>
      <c r="C67" s="85" t="inlineStr">
        <is>
          <t>21.04.20</t>
        </is>
      </c>
      <c r="D67" s="21" t="n"/>
      <c r="E67" s="86" t="inlineStr">
        <is>
          <t>Омивач скла для автомобіля</t>
        </is>
      </c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1" t="n"/>
      <c r="P67" s="87" t="n">
        <v>265.32</v>
      </c>
      <c r="Q67" s="51" t="n">
        <v>84</v>
      </c>
      <c r="R67" s="51" t="n"/>
      <c r="S67" s="51" t="n"/>
    </row>
    <row customHeight="1" ht="12.75" r="68">
      <c r="A68" s="45" t="n">
        <v>5</v>
      </c>
      <c r="B68" s="21" t="n"/>
      <c r="C68" s="85" t="n"/>
      <c r="D68" s="21" t="n"/>
      <c r="E68" s="86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1" t="n"/>
      <c r="P68" s="87" t="n"/>
      <c r="Q68" s="51" t="n">
        <v>84</v>
      </c>
      <c r="R68" s="51" t="n"/>
      <c r="S68" s="51" t="n"/>
    </row>
    <row customHeight="1" ht="12.75" r="69">
      <c r="A69" s="45" t="n">
        <v>6</v>
      </c>
      <c r="B69" s="21" t="n"/>
      <c r="C69" s="85" t="n"/>
      <c r="D69" s="21" t="n"/>
      <c r="E69" s="86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1" t="n"/>
      <c r="P69" s="87" t="n"/>
      <c r="Q69" s="51" t="n">
        <v>84</v>
      </c>
      <c r="R69" s="51" t="n"/>
      <c r="S69" s="51" t="n"/>
    </row>
    <row customHeight="1" ht="12.75" r="70">
      <c r="A70" s="45" t="n">
        <v>7</v>
      </c>
      <c r="B70" s="21" t="n"/>
      <c r="C70" s="85" t="n"/>
      <c r="D70" s="21" t="n"/>
      <c r="E70" s="86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1" t="n"/>
      <c r="P70" s="87" t="n"/>
      <c r="Q70" s="51" t="n">
        <v>84</v>
      </c>
      <c r="R70" s="51" t="n"/>
      <c r="S70" s="51" t="n"/>
    </row>
    <row customHeight="1" ht="12.75" r="71">
      <c r="A71" s="45" t="n">
        <v>8</v>
      </c>
      <c r="B71" s="21" t="n"/>
      <c r="C71" s="85" t="n"/>
      <c r="D71" s="21" t="n"/>
      <c r="E71" s="86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1" t="n"/>
      <c r="P71" s="87" t="n"/>
      <c r="Q71" s="51" t="n">
        <v>84</v>
      </c>
      <c r="R71" s="51" t="n"/>
      <c r="S71" s="51" t="n"/>
    </row>
    <row customHeight="1" ht="12.75" r="72">
      <c r="A72" s="45" t="n">
        <v>9</v>
      </c>
      <c r="B72" s="21" t="n"/>
      <c r="C72" s="85" t="n"/>
      <c r="D72" s="21" t="n"/>
      <c r="E72" s="86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1" t="n"/>
      <c r="P72" s="87" t="n"/>
      <c r="Q72" s="51" t="n">
        <v>84</v>
      </c>
      <c r="R72" s="51" t="n"/>
      <c r="S72" s="51" t="n"/>
    </row>
    <row customHeight="1" ht="12.75" r="73">
      <c r="A73" s="45" t="n">
        <v>10</v>
      </c>
      <c r="B73" s="21" t="n"/>
      <c r="C73" s="85" t="n"/>
      <c r="D73" s="21" t="n"/>
      <c r="E73" s="86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1" t="n"/>
      <c r="P73" s="87" t="n"/>
      <c r="Q73" s="51" t="n">
        <v>84</v>
      </c>
      <c r="R73" s="51" t="n"/>
      <c r="S73" s="51" t="n"/>
    </row>
    <row customHeight="1" ht="12.75" r="74">
      <c r="A74" s="45" t="n"/>
      <c r="B74" s="21" t="n"/>
      <c r="C74" s="45" t="n"/>
      <c r="D74" s="21" t="n"/>
      <c r="E74" s="88" t="inlineStr">
        <is>
          <t xml:space="preserve">Всього:   </t>
        </is>
      </c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1" t="n"/>
      <c r="P74" s="89">
        <f>SUM(P64:P73)</f>
        <v/>
      </c>
      <c r="Q74" s="51" t="n"/>
      <c r="R74" s="51" t="n"/>
      <c r="S74" s="51" t="n"/>
    </row>
    <row customHeight="1" ht="12.75" r="75">
      <c r="A75" s="90" t="n"/>
      <c r="B75" s="20" t="n"/>
      <c r="C75" s="90" t="n"/>
      <c r="D75" s="20" t="n"/>
      <c r="E75" s="20" t="n"/>
      <c r="F75" s="91" t="n"/>
      <c r="G75" s="91" t="n"/>
      <c r="H75" s="91" t="n"/>
      <c r="I75" s="92" t="n"/>
      <c r="J75" s="92" t="n"/>
      <c r="K75" s="92" t="n"/>
      <c r="L75" s="92" t="n"/>
      <c r="M75" s="92" t="n"/>
      <c r="N75" s="93" t="n"/>
      <c r="O75" s="93" t="n"/>
      <c r="P75" s="94" t="n"/>
      <c r="Q75" s="70" t="n"/>
      <c r="R75" s="70" t="n"/>
      <c r="S75" s="70" t="n"/>
    </row>
    <row customHeight="1" ht="12.75" r="76">
      <c r="A76" s="75" t="n"/>
      <c r="B76" s="76" t="n"/>
      <c r="C76" s="95" t="n"/>
      <c r="D76" s="76" t="n"/>
      <c r="E76" s="76" t="n"/>
      <c r="F76" s="96" t="n"/>
      <c r="G76" s="76" t="n"/>
      <c r="H76" s="76" t="n"/>
      <c r="I76" s="92" t="n"/>
      <c r="J76" s="92" t="n"/>
      <c r="K76" s="92" t="n"/>
      <c r="L76" s="92" t="n"/>
      <c r="M76" s="92" t="n"/>
      <c r="N76" s="93" t="n"/>
      <c r="O76" s="93" t="n"/>
      <c r="P76" s="94" t="n"/>
      <c r="Q76" s="70" t="n"/>
      <c r="R76" s="70" t="n"/>
      <c r="S76" s="70" t="n"/>
    </row>
    <row customHeight="1" ht="12.75" r="77">
      <c r="A77" s="2" t="inlineStr">
        <is>
          <t>Підпис підзвітної особи   _______________________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69">
        <f>O6</f>
        <v/>
      </c>
      <c r="O77" s="41" t="n"/>
      <c r="P77" s="97" t="inlineStr">
        <is>
          <t xml:space="preserve">  2020 року</t>
        </is>
      </c>
    </row>
  </sheetData>
  <mergeCells count="122">
    <mergeCell ref="B5:P5"/>
    <mergeCell ref="A8:J8"/>
    <mergeCell ref="A9:L9"/>
    <mergeCell ref="A10:F10"/>
    <mergeCell ref="M10:P10"/>
    <mergeCell ref="M11:P11"/>
    <mergeCell ref="Q11:Q15"/>
    <mergeCell ref="M12:P12"/>
    <mergeCell ref="R12:R15"/>
    <mergeCell ref="F16:I16"/>
    <mergeCell ref="Q16:Q29"/>
    <mergeCell ref="B17:I17"/>
    <mergeCell ref="R17:R18"/>
    <mergeCell ref="A18:J18"/>
    <mergeCell ref="T18:T36"/>
    <mergeCell ref="U18:U29"/>
    <mergeCell ref="R19:R23"/>
    <mergeCell ref="E22:I22"/>
    <mergeCell ref="H24:J24"/>
    <mergeCell ref="O24:P24"/>
    <mergeCell ref="H25:J25"/>
    <mergeCell ref="R25:R26"/>
    <mergeCell ref="H26:J26"/>
    <mergeCell ref="H27:J27"/>
    <mergeCell ref="R27:R30"/>
    <mergeCell ref="A28:F28"/>
    <mergeCell ref="H28:J28"/>
    <mergeCell ref="A29:G29"/>
    <mergeCell ref="H29:J29"/>
    <mergeCell ref="A30:G30"/>
    <mergeCell ref="H30:J30"/>
    <mergeCell ref="Q30:Q43"/>
    <mergeCell ref="A31:G31"/>
    <mergeCell ref="H31:J31"/>
    <mergeCell ref="R31:R33"/>
    <mergeCell ref="A32:G32"/>
    <mergeCell ref="H32:J32"/>
    <mergeCell ref="A33:G33"/>
    <mergeCell ref="H33:J33"/>
    <mergeCell ref="A34:G34"/>
    <mergeCell ref="H34:J34"/>
    <mergeCell ref="A35:G35"/>
    <mergeCell ref="H35:J35"/>
    <mergeCell ref="A36:F36"/>
    <mergeCell ref="H36:J36"/>
    <mergeCell ref="R36:R39"/>
    <mergeCell ref="H37:J37"/>
    <mergeCell ref="H38:J38"/>
    <mergeCell ref="H39:J39"/>
    <mergeCell ref="R40:R43"/>
    <mergeCell ref="C41:D41"/>
    <mergeCell ref="E41:G41"/>
    <mergeCell ref="J43:M43"/>
    <mergeCell ref="J44:M44"/>
    <mergeCell ref="A46:C46"/>
    <mergeCell ref="D46:E46"/>
    <mergeCell ref="G46:H46"/>
    <mergeCell ref="A48:Q48"/>
    <mergeCell ref="A49:Q49"/>
    <mergeCell ref="A51:Q51"/>
    <mergeCell ref="A52:J52"/>
    <mergeCell ref="K52:Q52"/>
    <mergeCell ref="A53:Q53"/>
    <mergeCell ref="A54:J54"/>
    <mergeCell ref="K54:Q54"/>
    <mergeCell ref="G56:M56"/>
    <mergeCell ref="P62:Q62"/>
    <mergeCell ref="A63:B63"/>
    <mergeCell ref="C63:D63"/>
    <mergeCell ref="E63:O63"/>
    <mergeCell ref="Q63:S63"/>
    <mergeCell ref="A64:B64"/>
    <mergeCell ref="C64:D64"/>
    <mergeCell ref="E64:O64"/>
    <mergeCell ref="Q64:S64"/>
    <mergeCell ref="A65:B65"/>
    <mergeCell ref="C65:D65"/>
    <mergeCell ref="E65:O65"/>
    <mergeCell ref="Q65:S65"/>
    <mergeCell ref="A66:B66"/>
    <mergeCell ref="C66:D66"/>
    <mergeCell ref="E66:O66"/>
    <mergeCell ref="Q66:S66"/>
    <mergeCell ref="A67:B67"/>
    <mergeCell ref="C67:D67"/>
    <mergeCell ref="E67:O67"/>
    <mergeCell ref="Q67:S67"/>
    <mergeCell ref="A68:B68"/>
    <mergeCell ref="C68:D68"/>
    <mergeCell ref="E68:O68"/>
    <mergeCell ref="Q68:S68"/>
    <mergeCell ref="A69:B69"/>
    <mergeCell ref="C69:D69"/>
    <mergeCell ref="E69:O69"/>
    <mergeCell ref="Q69:S69"/>
    <mergeCell ref="A70:B70"/>
    <mergeCell ref="C70:D70"/>
    <mergeCell ref="E70:O70"/>
    <mergeCell ref="Q70:S70"/>
    <mergeCell ref="A71:B71"/>
    <mergeCell ref="C71:D71"/>
    <mergeCell ref="E71:O71"/>
    <mergeCell ref="Q71:S71"/>
    <mergeCell ref="A72:B72"/>
    <mergeCell ref="C72:D72"/>
    <mergeCell ref="E72:O72"/>
    <mergeCell ref="Q72:S72"/>
    <mergeCell ref="A73:B73"/>
    <mergeCell ref="C73:D73"/>
    <mergeCell ref="E73:O73"/>
    <mergeCell ref="Q73:S73"/>
    <mergeCell ref="A74:B74"/>
    <mergeCell ref="C74:D74"/>
    <mergeCell ref="E74:O74"/>
    <mergeCell ref="Q74:S74"/>
    <mergeCell ref="A75:B75"/>
    <mergeCell ref="C75:E75"/>
    <mergeCell ref="A76:B76"/>
    <mergeCell ref="C76:E76"/>
    <mergeCell ref="F76:H76"/>
    <mergeCell ref="N77:O77"/>
    <mergeCell ref="P77:Q77"/>
  </mergeCells>
  <pageMargins bottom="1" footer="0.5" header="0.5" left="0.75" right="0.75" top="1"/>
  <pageSetup fitToHeight="0" paperSize="9"/>
  <rowBreaks count="1" manualBreakCount="1">
    <brk id="60" man="1" max="16383" min="0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2020-04-18T22:39:28Z</dcterms:created>
  <dcterms:modified xsi:type="dcterms:W3CDTF">2020-04-18T22:39:28Z</dcterms:modified>
</cp:coreProperties>
</file>